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Mode d'emploi" sheetId="1" state="visible" r:id="rId3"/>
    <sheet name="Paramètres" sheetId="2" state="visible" r:id="rId4"/>
    <sheet name="Clients" sheetId="3" state="visible" r:id="rId5"/>
    <sheet name="Courrier" sheetId="4" state="visible" r:id="rId6"/>
    <sheet name="Macro PDF" sheetId="5" state="visible" r:id="rId7"/>
  </sheets>
  <definedNames>
    <definedName function="false" hidden="true" localSheetId="2" name="_xlnm._FilterDatabase" vbProcedure="false">Clients!$A$1:$Y$501</definedName>
    <definedName function="false" hidden="false" localSheetId="3" name="_xlnm.Print_Area" vbProcedure="false">Courrier!$A$1:$G$45</definedName>
    <definedName function="false" hidden="false" name="Cab_Adr1" vbProcedure="false">Paramètres!$B$7</definedName>
    <definedName function="false" hidden="false" name="Cab_Contact" vbProcedure="false">Paramètres!$B$10</definedName>
    <definedName function="false" hidden="false" name="Cab_CPVille" vbProcedure="false">Paramètres!$B$8</definedName>
    <definedName function="false" hidden="false" name="Cab_Mentions" vbProcedure="false">Paramètres!$B$11</definedName>
    <definedName function="false" hidden="false" name="Cab_Nom" vbProcedure="false">Paramètres!$B$6</definedName>
    <definedName function="false" hidden="false" name="Cab_Ville" vbProcedure="false">Paramètres!$B$9</definedName>
    <definedName function="false" hidden="false" name="Client_Selectionne" vbProcedure="false">Courrier!$I$3</definedName>
    <definedName function="false" hidden="false" name="Codes_Clients" vbProcedure="false">Clients!$A$2:$A$501</definedName>
    <definedName function="false" hidden="false" name="Date_Courrier" vbProcedure="false">Paramètres!$B$16</definedName>
    <definedName function="false" hidden="false" name="Date_Effet" vbProcedure="false">Paramètres!$B$17</definedName>
    <definedName function="false" hidden="false" name="Lib_Compta" vbProcedure="false">Paramètres!$B$29</definedName>
    <definedName function="false" hidden="false" name="Lib_Jur" vbProcedure="false">Paramètres!$B$31</definedName>
    <definedName function="false" hidden="false" name="Lib_PA" vbProcedure="false">Paramètres!$B$32</definedName>
    <definedName function="false" hidden="false" name="Lib_Paye" vbProcedure="false">Paramètres!$B$30</definedName>
    <definedName function="false" hidden="false" name="Liste_Mois" vbProcedure="false">Paramètres!$B$45:$B$56</definedName>
    <definedName function="false" hidden="false" name="Nb_Mensualites" vbProcedure="false">Paramètres!$B$25</definedName>
    <definedName function="false" hidden="false" name="Pas_Arrondi" vbProcedure="false">Paramètres!$B$24</definedName>
    <definedName function="false" hidden="false" name="Signataire" vbProcedure="false">Paramètres!$B$12</definedName>
    <definedName function="false" hidden="false" name="Signataire_Titre" vbProcedure="false">Paramètres!$B$13</definedName>
    <definedName function="false" hidden="false" name="Taux_Compta" vbProcedure="false">Paramètres!$B$20</definedName>
    <definedName function="false" hidden="false" name="Taux_Jur" vbProcedure="false">Paramètres!$B$22</definedName>
    <definedName function="false" hidden="false" name="Taux_PA" vbProcedure="false">Paramètres!$B$23</definedName>
    <definedName function="false" hidden="false" name="Taux_Paye" vbProcedure="false">Paramètres!$B$21</definedName>
    <definedName function="false" hidden="false" name="Taux_TVA" vbProcedure="false">Paramètres!$B$26</definedName>
    <definedName function="false" hidden="false" name="Txt_Objet" vbProcedure="false">Paramètres!$B$35</definedName>
    <definedName function="false" hidden="false" name="Txt_P1" vbProcedure="false">Paramètres!$B$36</definedName>
    <definedName function="false" hidden="false" name="Txt_P2" vbProcedure="false">Paramètres!$B$37</definedName>
    <definedName function="false" hidden="false" name="Txt_P3" vbProcedure="false">Paramètres!$B$38</definedName>
    <definedName function="false" hidden="false" name="Txt_P4" vbProcedure="false">Paramètres!$B$39</definedName>
    <definedName function="false" hidden="false" name="Txt_P5" vbProcedure="false">Paramètres!$B$40</definedName>
    <definedName function="false" hidden="false" name="Txt_P6" vbProcedure="false">Paramètres!$B$41</definedName>
    <definedName function="false" hidden="false" name="Txt_Politesse" vbProcedure="false">Paramètres!$B$42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B16" authorId="0">
      <text>
        <r>
          <rPr>
            <sz val="10"/>
            <rFont val="Arial"/>
            <family val="2"/>
          </rPr>
          <t xml:space="preserve">Par défaut : date du jour. Vous pouvez saisir une date fixe (ex. 01/12/2026).</t>
        </r>
      </text>
    </comment>
    <comment ref="B17" authorId="0">
      <text>
        <r>
          <rPr>
            <sz val="10"/>
            <rFont val="Arial"/>
            <family val="2"/>
          </rPr>
          <t xml:space="preserve">Par défaut : 1er janvier de l'année suivante. Saisissez une autre date si besoin.</t>
        </r>
      </text>
    </comment>
    <comment ref="B20" authorId="0">
      <text>
        <r>
          <rPr>
            <sz val="10"/>
            <rFont val="Arial"/>
            <family val="2"/>
          </rPr>
          <t xml:space="preserve">Taux appliqué à tous les clients, sauf taux personnalisé saisi dans l'onglet Clients.</t>
        </r>
      </text>
    </comment>
    <comment ref="B24" authorId="0">
      <text>
        <r>
          <rPr>
            <sz val="10"/>
            <rFont val="Arial"/>
            <family val="2"/>
          </rPr>
          <t xml:space="preserve">1 = à l'euro près, 5 = aux 5 € supérieurs, 10 = aux 10 € supérieurs…</t>
        </r>
      </text>
    </comment>
    <comment ref="B25" authorId="0">
      <text>
        <r>
          <rPr>
            <sz val="10"/>
            <rFont val="Arial"/>
            <family val="2"/>
          </rPr>
          <t xml:space="preserve">Utilisé pour afficher le montant de la mensualité HT sous le tableau. 0 = ligne masquée.</t>
        </r>
      </text>
    </comment>
    <comment ref="B42" authorId="0">
      <text>
        <r>
          <rPr>
            <sz val="10"/>
            <rFont val="Arial"/>
            <family val="2"/>
          </rPr>
          <t xml:space="preserve">{civilite} est remplacé par Madame / Monsieur / Madame, Monsieur selon la civilité du client.</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N1" authorId="0">
      <text>
        <r>
          <rPr>
            <sz val="10"/>
            <rFont val="Arial"/>
            <family val="2"/>
          </rPr>
          <t xml:space="preserve">Honoraires annuels HT de la plateforme agréée (facturation électronique). Laisser à 0 si le client n'y a pas souscrit.</t>
        </r>
      </text>
    </comment>
    <comment ref="O1" authorId="0">
      <text>
        <r>
          <rPr>
            <sz val="10"/>
            <rFont val="Arial"/>
            <family val="2"/>
          </rPr>
          <t xml:space="preserve">Laisser vide pour appliquer les taux par défaut de l'onglet Paramètres. Sinon, ce taux remplace tous les taux pour ce client (ex. 2,5 %).</t>
        </r>
      </text>
    </comment>
  </commentList>
</comments>
</file>

<file path=xl/sharedStrings.xml><?xml version="1.0" encoding="utf-8"?>
<sst xmlns="http://schemas.openxmlformats.org/spreadsheetml/2006/main" count="284" uniqueCount="245">
  <si>
    <t xml:space="preserve">COURRIER D'AUGMENTATION TARIFAIRE — PUBLIPOSTAGE</t>
  </si>
  <si>
    <t xml:space="preserve">Compta · Paye · Juridique · Plateforme agréée</t>
  </si>
  <si>
    <t xml:space="preserve">1. Onglet « Paramètres »</t>
  </si>
  <si>
    <t xml:space="preserve">Renseignez les coordonnées du cabinet, le signataire, la date d'effet, les taux d'augmentation par mission et, si besoin, adaptez les textes du courrier. Les balises {cabinet}, {societe}, {date_effet}, {hausse} et {civilite} sont remplacées automatiquement.</t>
  </si>
  <si>
    <t xml:space="preserve">2. Onglet « Clients »</t>
  </si>
  <si>
    <t xml:space="preserve">Une ligne par client. Colonnes bleues = saisie ; colonnes vertes = calcul automatique (ne pas modifier). Saisissez les honoraires ANNUELS HT actuels par mission (0 ou vide si la mission n'est pas souscrite : elle n'apparaîtra pas dans le courrier). « Taux perso » remplace les taux par défaut pour ce client. Les 3 lignes d'exemple (C001 à C003) sont à remplacer par vos clients.</t>
  </si>
  <si>
    <t xml:space="preserve">3. Onglet « Courrier » — un client à la fois</t>
  </si>
  <si>
    <t xml:space="preserve">Choisissez le code client dans la cellule jaune I3 : le courrier se remplit tout seul. Puis Fichier &gt; Exporter &gt; Créer un PDF (ou Enregistrer sous &gt; PDF) pour l'envoi par e-mail, ou Fichier &gt; Imprimer pour l'envoi postal. La mise en page A4 est déjà réglée (1 page, adresse du destinataire positionnée pour une enveloppe à fenêtre à droite).</t>
  </si>
  <si>
    <t xml:space="preserve">4. Tous les clients d'un coup — macro « Macro PDF »</t>
  </si>
  <si>
    <t xml:space="preserve">Enregistrez le fichier au format .xlsm (Classeur Excel prenant en charge les macros), ouvrez l'éditeur VBA (Alt + F11), Insertion &gt; Module, collez le code de l'onglet « Macro PDF » (ou importez le fichier Module_Courriers.bas). Lancez ensuite (Alt + F8) :
  • ExporterTousLesPDF : un PDF par client dont « À envoyer » = Oui, dans le dossier Courriers_PDF
  • ExporterUnSeulPDF : un seul PDF regroupant tous les courriers (pratique pour un envoi en masse)
  • ImprimerCourriersPostaux : impression des clients « À envoyer » = Oui et mode Courrier / Les deux</t>
  </si>
  <si>
    <t xml:space="preserve">5. Alternative : publipostage Word</t>
  </si>
  <si>
    <t xml:space="preserve">L'onglet « Clients » (en-têtes en ligne 1) peut aussi servir de source de données à un publipostage Word (Publipostage &gt; Sélection des destinataires &gt; Utiliser une liste existante).</t>
  </si>
  <si>
    <t xml:space="preserve">Légende des couleurs</t>
  </si>
  <si>
    <t xml:space="preserve">Texte bleu sur fond jaune = cellule à renseigner  ·  Fond gris = formule  ·  Colonnes grises à droite du courrier (J à O) = calculs internes, non imprimés.</t>
  </si>
  <si>
    <t xml:space="preserve">PARAMÈTRES DU COURRIER</t>
  </si>
  <si>
    <t xml:space="preserve">Cellules sur fond jaune / texte bleu = à personnaliser. Balises utilisables dans les textes : {cabinet} {societe} {date_effet} {hausse}</t>
  </si>
  <si>
    <t xml:space="preserve">Coordonnées du cabinet</t>
  </si>
  <si>
    <t xml:space="preserve">Nom du cabinet</t>
  </si>
  <si>
    <t xml:space="preserve">CABINET EXEMPLE EXPERTISE</t>
  </si>
  <si>
    <t xml:space="preserve">Adresse</t>
  </si>
  <si>
    <t xml:space="preserve">12 rue de la République</t>
  </si>
  <si>
    <t xml:space="preserve">Code postal et ville</t>
  </si>
  <si>
    <t xml:space="preserve">69002 LYON</t>
  </si>
  <si>
    <t xml:space="preserve">Ville (lieu de signature)</t>
  </si>
  <si>
    <t xml:space="preserve">Lyon</t>
  </si>
  <si>
    <t xml:space="preserve">Téléphone / e-mail</t>
  </si>
  <si>
    <t xml:space="preserve">Tél. 04 00 00 00 00  ·  contact@cabinet-exemple.fr</t>
  </si>
  <si>
    <t xml:space="preserve">Mentions légales (pied de page)</t>
  </si>
  <si>
    <t xml:space="preserve">SAS au capital de 10 000 € · SIRET 000 000 000 00000 · Société d'expertise comptable inscrite au Tableau de l'Ordre de la région Auvergne-Rhône-Alpes</t>
  </si>
  <si>
    <t xml:space="preserve">Nom du signataire</t>
  </si>
  <si>
    <t xml:space="preserve">Jean MARTIN</t>
  </si>
  <si>
    <t xml:space="preserve">Fonction du signataire</t>
  </si>
  <si>
    <t xml:space="preserve">Expert-comptable associé</t>
  </si>
  <si>
    <t xml:space="preserve">Dates</t>
  </si>
  <si>
    <t xml:space="preserve">Date du courrier</t>
  </si>
  <si>
    <t xml:space="preserve">Date d'effet des nouveaux tarifs</t>
  </si>
  <si>
    <t xml:space="preserve">Taux d'augmentation par défaut (par mission)</t>
  </si>
  <si>
    <t xml:space="preserve">Comptabilité</t>
  </si>
  <si>
    <t xml:space="preserve">Paye / social</t>
  </si>
  <si>
    <t xml:space="preserve">Juridique</t>
  </si>
  <si>
    <t xml:space="preserve">Plateforme agréée (facturation électronique)</t>
  </si>
  <si>
    <t xml:space="preserve">Arrondi des nouveaux honoraires (en €)</t>
  </si>
  <si>
    <t xml:space="preserve">Nombre d'échéances par an (mensualisation)</t>
  </si>
  <si>
    <t xml:space="preserve">Taux de TVA</t>
  </si>
  <si>
    <t xml:space="preserve">Libellés des missions (tels qu'imprimés dans le courrier)</t>
  </si>
  <si>
    <t xml:space="preserve">Mission 1</t>
  </si>
  <si>
    <t xml:space="preserve">Mission comptable (tenue, révision, bilan, liasse fiscale)</t>
  </si>
  <si>
    <t xml:space="preserve">Mission 2</t>
  </si>
  <si>
    <t xml:space="preserve">Mission sociale (bulletins de paie, DSN, déclarations sociales)</t>
  </si>
  <si>
    <t xml:space="preserve">Mission 3</t>
  </si>
  <si>
    <t xml:space="preserve">Mission juridique (approbation des comptes, secrétariat juridique)</t>
  </si>
  <si>
    <t xml:space="preserve">Mission 4</t>
  </si>
  <si>
    <t xml:space="preserve">Plateforme agréée – facturation électronique</t>
  </si>
  <si>
    <t xml:space="preserve">Textes du courrier (modifiables — laissez vide pour supprimer un paragraphe)</t>
  </si>
  <si>
    <t xml:space="preserve">Objet</t>
  </si>
  <si>
    <t xml:space="preserve">Objet : révision de nos honoraires au {date_effet}</t>
  </si>
  <si>
    <t xml:space="preserve">Paragraphe 1</t>
  </si>
  <si>
    <t xml:space="preserve">Nous tenons tout d'abord à vous remercier pour la confiance que vous accordez à {cabinet}. Comme chaque année, et conformément aux dispositions de votre lettre de mission, nous procédons à la révision de nos honoraires.</t>
  </si>
  <si>
    <t xml:space="preserve">Paragraphe 2</t>
  </si>
  <si>
    <t xml:space="preserve">Cette révision, que nous avons souhaitée mesurée, tient compte de l'évolution de nos charges (rémunération et formation continue de nos collaborateurs, logiciels, sécurité informatique) ainsi que du renforcement constant des obligations comptables, fiscales, sociales et juridiques qui s'imposent à votre entreprise.</t>
  </si>
  <si>
    <t xml:space="preserve">Paragraphe 3 (facturation électronique)</t>
  </si>
  <si>
    <t xml:space="preserve">L'année à venir est également marquée par la généralisation de la facturation électronique : depuis le 1er septembre 2026, toutes les entreprises doivent être en mesure de recevoir leurs factures électroniques via une plateforme agréée, et l'obligation d'émission s'étendra aux PME et micro-entreprises au 1er septembre 2027. Notre cabinet vous accompagne dans cette transition grâce à une solution de plateforme agréée directement intégrée à votre dossier.</t>
  </si>
  <si>
    <t xml:space="preserve">Paragraphe 4 (avant le tableau)</t>
  </si>
  <si>
    <t xml:space="preserve">À compter du {date_effet}, vos honoraires annuels hors taxes évolueront ainsi (évolution globale : {hausse}) :</t>
  </si>
  <si>
    <t xml:space="preserve">Paragraphe 5 (après le tableau)</t>
  </si>
  <si>
    <t xml:space="preserve">Les autres conditions de votre lettre de mission demeurent inchangées. Les nouveaux montants seront appliqués automatiquement sur vos prochaines factures et échéances de prélèvement.</t>
  </si>
  <si>
    <t xml:space="preserve">Paragraphe 6</t>
  </si>
  <si>
    <t xml:space="preserve">Votre interlocuteur habituel reste à votre entière disposition pour répondre à vos questions et faire le point sur l'évolution de vos besoins.</t>
  </si>
  <si>
    <t xml:space="preserve">Formule de politesse</t>
  </si>
  <si>
    <t xml:space="preserve">Nous vous prions d'agréer, {civilite}, l'expression de nos salutations distinguées.</t>
  </si>
  <si>
    <t xml:space="preserve">Mois (usage interne)</t>
  </si>
  <si>
    <t xml:space="preserve">janvier</t>
  </si>
  <si>
    <t xml:space="preserve">février</t>
  </si>
  <si>
    <t xml:space="preserve">mars</t>
  </si>
  <si>
    <t xml:space="preserve">avril</t>
  </si>
  <si>
    <t xml:space="preserve">mai</t>
  </si>
  <si>
    <t xml:space="preserve">juin</t>
  </si>
  <si>
    <t xml:space="preserve">juillet</t>
  </si>
  <si>
    <t xml:space="preserve">août</t>
  </si>
  <si>
    <t xml:space="preserve">septembre</t>
  </si>
  <si>
    <t xml:space="preserve">octobre</t>
  </si>
  <si>
    <t xml:space="preserve">novembre</t>
  </si>
  <si>
    <t xml:space="preserve">décembre</t>
  </si>
  <si>
    <t xml:space="preserve">Code client</t>
  </si>
  <si>
    <t xml:space="preserve">Civilité</t>
  </si>
  <si>
    <t xml:space="preserve">Prénom</t>
  </si>
  <si>
    <t xml:space="preserve">Nom</t>
  </si>
  <si>
    <t xml:space="preserve">Société</t>
  </si>
  <si>
    <t xml:space="preserve">Adresse 1</t>
  </si>
  <si>
    <t xml:space="preserve">Adresse 2</t>
  </si>
  <si>
    <t xml:space="preserve">Code postal</t>
  </si>
  <si>
    <t xml:space="preserve">Ville</t>
  </si>
  <si>
    <t xml:space="preserve">Email</t>
  </si>
  <si>
    <t xml:space="preserve">Compta actuel HT</t>
  </si>
  <si>
    <t xml:space="preserve">Paye actuel HT</t>
  </si>
  <si>
    <t xml:space="preserve">Juridique actuel HT</t>
  </si>
  <si>
    <t xml:space="preserve">PA actuel HT</t>
  </si>
  <si>
    <t xml:space="preserve">Taux perso (optionnel)</t>
  </si>
  <si>
    <t xml:space="preserve">Compta nouveau HT</t>
  </si>
  <si>
    <t xml:space="preserve">Paye nouveau HT</t>
  </si>
  <si>
    <t xml:space="preserve">Juridique nouveau HT</t>
  </si>
  <si>
    <t xml:space="preserve">PA nouveau HT</t>
  </si>
  <si>
    <t xml:space="preserve">Total actuel HT</t>
  </si>
  <si>
    <t xml:space="preserve">Total nouveau HT</t>
  </si>
  <si>
    <t xml:space="preserve">Écart HT</t>
  </si>
  <si>
    <t xml:space="preserve">Écart %</t>
  </si>
  <si>
    <t xml:space="preserve">À envoyer</t>
  </si>
  <si>
    <t xml:space="preserve">Mode d'envoi</t>
  </si>
  <si>
    <t xml:space="preserve">C001</t>
  </si>
  <si>
    <t xml:space="preserve">M.</t>
  </si>
  <si>
    <t xml:space="preserve">Pierre</t>
  </si>
  <si>
    <t xml:space="preserve">DURAND</t>
  </si>
  <si>
    <t xml:space="preserve">SARL DURAND BÂTIMENT</t>
  </si>
  <si>
    <t xml:space="preserve">5 avenue des Tilleuls</t>
  </si>
  <si>
    <t xml:space="preserve">69100</t>
  </si>
  <si>
    <t xml:space="preserve">Villeurbanne</t>
  </si>
  <si>
    <t xml:space="preserve">p.durand@exemple.fr</t>
  </si>
  <si>
    <t xml:space="preserve">Oui</t>
  </si>
  <si>
    <t xml:space="preserve">Courrier</t>
  </si>
  <si>
    <t xml:space="preserve">C002</t>
  </si>
  <si>
    <t xml:space="preserve">Mme</t>
  </si>
  <si>
    <t xml:space="preserve">Sophie</t>
  </si>
  <si>
    <t xml:space="preserve">LEROY</t>
  </si>
  <si>
    <t xml:space="preserve">SAS LEROY CONSEIL</t>
  </si>
  <si>
    <t xml:space="preserve">Parc d'activités du Moulin</t>
  </si>
  <si>
    <t xml:space="preserve">Bât. B – 3 allée Verte</t>
  </si>
  <si>
    <t xml:space="preserve">38000</t>
  </si>
  <si>
    <t xml:space="preserve">Grenoble</t>
  </si>
  <si>
    <t xml:space="preserve">s.leroy@exemple.fr</t>
  </si>
  <si>
    <t xml:space="preserve">C003</t>
  </si>
  <si>
    <t xml:space="preserve">EURL LES JARDINS DE CLAIRE</t>
  </si>
  <si>
    <t xml:space="preserve">18 chemin des Vignes</t>
  </si>
  <si>
    <t xml:space="preserve">69400</t>
  </si>
  <si>
    <t xml:space="preserve">Villefranche-sur-Saône</t>
  </si>
  <si>
    <t xml:space="preserve">contact@jardins-claire.fr</t>
  </si>
  <si>
    <t xml:space="preserve">Non</t>
  </si>
  <si>
    <t xml:space="preserve">Ligne client</t>
  </si>
  <si>
    <t xml:space="preserve">CLIENT À ÉDITER ▼</t>
  </si>
  <si>
    <t xml:space="preserve">Civilité longue</t>
  </si>
  <si>
    <t xml:space="preserve">Date effet texte</t>
  </si>
  <si>
    <t xml:space="preserve">Hausse globale</t>
  </si>
  <si>
    <t xml:space="preserve">Choisissez le code client dans la liste, puis :
Fichier &gt; Exporter &gt; PDF (1 client)
ou Fichier &gt; Imprimer.
Pour tous les clients : macro de l'onglet « Macro PDF ».</t>
  </si>
  <si>
    <t xml:space="preserve">Mission</t>
  </si>
  <si>
    <t xml:space="preserve">Actuel HT</t>
  </si>
  <si>
    <t xml:space="preserve">Évol.</t>
  </si>
  <si>
    <t xml:space="preserve">Nouveau HT</t>
  </si>
  <si>
    <t xml:space="preserve">Libellé</t>
  </si>
  <si>
    <t xml:space="preserve">Actuel</t>
  </si>
  <si>
    <t xml:space="preserve">Nouveau</t>
  </si>
  <si>
    <t xml:space="preserve">Actif</t>
  </si>
  <si>
    <t xml:space="preserve">Rang</t>
  </si>
  <si>
    <t xml:space="preserve">k</t>
  </si>
  <si>
    <t xml:space="preserve">Total annuel HT</t>
  </si>
  <si>
    <t xml:space="preserve">Code VBA à coller dans un module (Alt + F11 &gt; Insertion &gt; Module), fichier enregistré en .xlsm</t>
  </si>
  <si>
    <t xml:space="preserve">'=====================================================================</t>
  </si>
  <si>
    <t xml:space="preserve">' Publipostage - Courrier d'augmentation tarifaire</t>
  </si>
  <si>
    <t xml:space="preserve">' Onglets requis : "Clients" (en-tetes ligne 1) et "Courrier"</t>
  </si>
  <si>
    <t xml:space="preserve">' Nom defini requis : Client_Selectionne (cellule Courrier!I3)</t>
  </si>
  <si>
    <t xml:space="preserve">Option Explicit</t>
  </si>
  <si>
    <t xml:space="preserve">Private Const COL_CODE As String = "A"</t>
  </si>
  <si>
    <t xml:space="preserve">Private Const COL_SOCIETE As String = "E"</t>
  </si>
  <si>
    <t xml:space="preserve">Private Const COL_ENVOI As String = "X"</t>
  </si>
  <si>
    <t xml:space="preserve">Private Const COL_MODE As String = "Y"</t>
  </si>
  <si>
    <t xml:space="preserve">' Un PDF par client (A envoyer = Oui) dans le sous-dossier Courriers_PDF</t>
  </si>
  <si>
    <t xml:space="preserve">Public Sub ExporterTousLesPDF()</t>
  </si>
  <si>
    <t xml:space="preserve">    Dim wsC As Worksheet, wsL As Worksheet</t>
  </si>
  <si>
    <t xml:space="preserve">    Dim dossier As String, fichier As String, codeInitial As Variant</t>
  </si>
  <si>
    <t xml:space="preserve">    Dim i As Long, derniere As Long, nb As Long</t>
  </si>
  <si>
    <t xml:space="preserve">    Set wsC = ThisWorkbook.Worksheets("Clients")</t>
  </si>
  <si>
    <t xml:space="preserve">    Set wsL = ThisWorkbook.Worksheets("Courrier")</t>
  </si>
  <si>
    <t xml:space="preserve">    dossier = DossierSortie()</t>
  </si>
  <si>
    <t xml:space="preserve">    If dossier = "" Then Exit Sub</t>
  </si>
  <si>
    <t xml:space="preserve">    codeInitial = wsL.Range("Client_Selectionne").Value</t>
  </si>
  <si>
    <t xml:space="preserve">    Application.ScreenUpdating = False</t>
  </si>
  <si>
    <t xml:space="preserve">    derniere = wsC.Cells(wsC.Rows.Count, COL_CODE).End(xlUp).Row</t>
  </si>
  <si>
    <t xml:space="preserve">    For i = 2 To derniere</t>
  </si>
  <si>
    <t xml:space="preserve">        If AEnvoyer(wsC, i) Then</t>
  </si>
  <si>
    <t xml:space="preserve">            wsL.Range("Client_Selectionne").Value = wsC.Cells(i, COL_CODE).Value</t>
  </si>
  <si>
    <t xml:space="preserve">            Application.Calculate</t>
  </si>
  <si>
    <t xml:space="preserve">            fichier = dossier &amp; Application.PathSeparator &amp; "Courrier_" &amp; _</t>
  </si>
  <si>
    <t xml:space="preserve">                      NettoyerNom(wsC.Cells(i, COL_CODE).Value &amp; "_" &amp; wsC.Cells(i, COL_SOCIETE).Value) &amp; ".pdf"</t>
  </si>
  <si>
    <t xml:space="preserve">            wsL.ExportAsFixedFormat Type:=xlTypePDF, Filename:=fichier, _</t>
  </si>
  <si>
    <t xml:space="preserve">                Quality:=xlQualityStandard, IncludeDocProperties:=False, _</t>
  </si>
  <si>
    <t xml:space="preserve">                IgnorePrintAreas:=False, OpenAfterPublish:=False</t>
  </si>
  <si>
    <t xml:space="preserve">            nb = nb + 1</t>
  </si>
  <si>
    <t xml:space="preserve">        End If</t>
  </si>
  <si>
    <t xml:space="preserve">    Next i</t>
  </si>
  <si>
    <t xml:space="preserve">    wsL.Range("Client_Selectionne").Value = codeInitial</t>
  </si>
  <si>
    <t xml:space="preserve">    Application.ScreenUpdating = True</t>
  </si>
  <si>
    <t xml:space="preserve">    MsgBox nb &amp; " courrier(s) exporte(s) en PDF dans :" &amp; vbCrLf &amp; dossier, vbInformation</t>
  </si>
  <si>
    <t xml:space="preserve">End Sub</t>
  </si>
  <si>
    <t xml:space="preserve">' Un seul PDF regroupant tous les courriers (A envoyer = Oui)</t>
  </si>
  <si>
    <t xml:space="preserve">Public Sub ExporterUnSeulPDF()</t>
  </si>
  <si>
    <t xml:space="preserve">    Dim wsC As Worksheet, wsL As Worksheet, wbTmp As Workbook, ws As Worksheet</t>
  </si>
  <si>
    <t xml:space="preserve">    Dim dossier As String, codeInitial As Variant</t>
  </si>
  <si>
    <t xml:space="preserve">    Application.DisplayAlerts = False</t>
  </si>
  <si>
    <t xml:space="preserve">            If wbTmp Is Nothing Then</t>
  </si>
  <si>
    <t xml:space="preserve">                wsL.Copy</t>
  </si>
  <si>
    <t xml:space="preserve">                Set wbTmp = ActiveWorkbook</t>
  </si>
  <si>
    <t xml:space="preserve">            Else</t>
  </si>
  <si>
    <t xml:space="preserve">                wsL.Copy After:=wbTmp.Sheets(wbTmp.Sheets.Count)</t>
  </si>
  <si>
    <t xml:space="preserve">            End If</t>
  </si>
  <si>
    <t xml:space="preserve">            Set ws = wbTmp.Sheets(wbTmp.Sheets.Count)</t>
  </si>
  <si>
    <t xml:space="preserve">            ws.UsedRange.Copy</t>
  </si>
  <si>
    <t xml:space="preserve">            ws.UsedRange.PasteSpecial Paste:=xlPasteValues</t>
  </si>
  <si>
    <t xml:space="preserve">            Application.CutCopyMode = False</t>
  </si>
  <si>
    <t xml:space="preserve">            ws.Name = Left(NettoyerNom(CStr(wsC.Cells(i, COL_CODE).Value)), 25) &amp; "_" &amp; i</t>
  </si>
  <si>
    <t xml:space="preserve">    If nb &gt; 0 Then</t>
  </si>
  <si>
    <t xml:space="preserve">        wbTmp.ExportAsFixedFormat Type:=xlTypePDF, _</t>
  </si>
  <si>
    <t xml:space="preserve">            Filename:=dossier &amp; Application.PathSeparator &amp; "Courriers_augmentation_TOUS.pdf", _</t>
  </si>
  <si>
    <t xml:space="preserve">            Quality:=xlQualityStandard, IncludeDocProperties:=False, _</t>
  </si>
  <si>
    <t xml:space="preserve">            IgnorePrintAreas:=False, OpenAfterPublish:=True</t>
  </si>
  <si>
    <t xml:space="preserve">        wbTmp.Close SaveChanges:=False</t>
  </si>
  <si>
    <t xml:space="preserve">    End If</t>
  </si>
  <si>
    <t xml:space="preserve">    Application.DisplayAlerts = True</t>
  </si>
  <si>
    <t xml:space="preserve">    MsgBox nb &amp; " courrier(s) regroupe(s) dans Courriers_augmentation_TOUS.pdf", vbInformation</t>
  </si>
  <si>
    <t xml:space="preserve">' Impression papier : A envoyer = Oui ET Mode d'envoi = Courrier ou Les deux</t>
  </si>
  <si>
    <t xml:space="preserve">Public Sub ImprimerCourriersPostaux()</t>
  </si>
  <si>
    <t xml:space="preserve">    Dim wsC As Worksheet, wsL As Worksheet, codeInitial As Variant</t>
  </si>
  <si>
    <t xml:space="preserve">    Dim i As Long, derniere As Long, nb As Long, mode As String</t>
  </si>
  <si>
    <t xml:space="preserve">    If MsgBox("Lancer l'impression des courriers postaux sur l'imprimante par defaut ?", _</t>
  </si>
  <si>
    <t xml:space="preserve">              vbYesNo + vbQuestion) = vbNo Then Exit Sub</t>
  </si>
  <si>
    <t xml:space="preserve">        mode = LCase(Trim(CStr(wsC.Cells(i, COL_MODE).Value)))</t>
  </si>
  <si>
    <t xml:space="preserve">        If AEnvoyer(wsC, i) And (mode = "courrier" Or mode = "les deux" Or mode = "") Then</t>
  </si>
  <si>
    <t xml:space="preserve">            wsL.PrintOut Copies:=1</t>
  </si>
  <si>
    <t xml:space="preserve">    MsgBox nb &amp; " courrier(s) envoye(s) a l'imprimante.", vbInformation</t>
  </si>
  <si>
    <t xml:space="preserve">'--------------------------------------------------------------------- utilitaires</t>
  </si>
  <si>
    <t xml:space="preserve">Private Function AEnvoyer(wsC As Worksheet, ByVal i As Long) As Boolean</t>
  </si>
  <si>
    <t xml:space="preserve">    AEnvoyer = Trim(CStr(wsC.Cells(i, COL_CODE).Value)) &lt;&gt; "" And _</t>
  </si>
  <si>
    <t xml:space="preserve">               LCase(Trim(CStr(wsC.Cells(i, COL_ENVOI).Value))) = "oui"</t>
  </si>
  <si>
    <t xml:space="preserve">End Function</t>
  </si>
  <si>
    <t xml:space="preserve">Private Function DossierSortie() As String</t>
  </si>
  <si>
    <t xml:space="preserve">    Dim d As String</t>
  </si>
  <si>
    <t xml:space="preserve">    If ThisWorkbook.Path = "" Then</t>
  </si>
  <si>
    <t xml:space="preserve">        MsgBox "Enregistrez d'abord le classeur (format .xlsm).", vbExclamation</t>
  </si>
  <si>
    <t xml:space="preserve">        Exit Function</t>
  </si>
  <si>
    <t xml:space="preserve">    d = ThisWorkbook.Path &amp; Application.PathSeparator &amp; "Courriers_PDF"</t>
  </si>
  <si>
    <t xml:space="preserve">    If Dir(d, vbDirectory) = "" Then MkDir d</t>
  </si>
  <si>
    <t xml:space="preserve">    DossierSortie = d</t>
  </si>
  <si>
    <t xml:space="preserve">Private Function NettoyerNom(ByVal s As String) As String</t>
  </si>
  <si>
    <t xml:space="preserve">    Dim c As Variant</t>
  </si>
  <si>
    <t xml:space="preserve">    For Each c In Array("\", "/", ":", "*", "?", """", "&lt;", "&gt;", "|", "[", "]", "'")</t>
  </si>
  <si>
    <t xml:space="preserve">        s = Replace(s, c, "")</t>
  </si>
  <si>
    <t xml:space="preserve">    Next c</t>
  </si>
  <si>
    <t xml:space="preserve">    NettoyerNom = Trim(Replace(s, " ", "_"))</t>
  </si>
</sst>
</file>

<file path=xl/styles.xml><?xml version="1.0" encoding="utf-8"?>
<styleSheet xmlns="http://schemas.openxmlformats.org/spreadsheetml/2006/main">
  <numFmts count="8">
    <numFmt numFmtId="164" formatCode="General"/>
    <numFmt numFmtId="165" formatCode="dd/mm/yyyy"/>
    <numFmt numFmtId="166" formatCode="0.0%"/>
    <numFmt numFmtId="167" formatCode="0"/>
    <numFmt numFmtId="168" formatCode="@"/>
    <numFmt numFmtId="169" formatCode="#,##0&quot; €&quot;;\-#,##0&quot; €&quot;;\—"/>
    <numFmt numFmtId="170" formatCode="0.0%;\-0.0%;\—"/>
    <numFmt numFmtId="171" formatCode="\+0.0%;\-0.0%;\—"/>
  </numFmts>
  <fonts count="32">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1"/>
      <color rgb="FF595959"/>
      <name val="Arial"/>
      <family val="0"/>
      <charset val="1"/>
    </font>
    <font>
      <b val="true"/>
      <sz val="11"/>
      <color rgb="FF000000"/>
      <name val="Arial"/>
      <family val="0"/>
      <charset val="1"/>
    </font>
    <font>
      <sz val="10"/>
      <color rgb="FF000000"/>
      <name val="Arial"/>
      <family val="0"/>
      <charset val="1"/>
    </font>
    <font>
      <b val="true"/>
      <sz val="14"/>
      <color rgb="FF1F3864"/>
      <name val="Arial"/>
      <family val="0"/>
      <charset val="1"/>
    </font>
    <font>
      <i val="true"/>
      <sz val="9"/>
      <color rgb="FF7F7F7F"/>
      <name val="Arial"/>
      <family val="0"/>
      <charset val="1"/>
    </font>
    <font>
      <b val="true"/>
      <sz val="11"/>
      <color rgb="FFFFFFFF"/>
      <name val="Arial"/>
      <family val="0"/>
      <charset val="1"/>
    </font>
    <font>
      <sz val="10"/>
      <color rgb="FF0000FF"/>
      <name val="Arial"/>
      <family val="0"/>
      <charset val="1"/>
    </font>
    <font>
      <sz val="9"/>
      <color rgb="FF7F7F7F"/>
      <name val="Arial"/>
      <family val="0"/>
      <charset val="1"/>
    </font>
    <font>
      <sz val="10"/>
      <name val="Arial"/>
      <family val="2"/>
    </font>
    <font>
      <b val="true"/>
      <sz val="10"/>
      <color rgb="FFFFFFFF"/>
      <name val="Arial"/>
      <family val="0"/>
      <charset val="1"/>
    </font>
    <font>
      <sz val="8"/>
      <color rgb="FFA6A6A6"/>
      <name val="Arial"/>
      <family val="0"/>
      <charset val="1"/>
    </font>
    <font>
      <b val="true"/>
      <sz val="15"/>
      <color rgb="FF1F3864"/>
      <name val="Arial"/>
      <family val="0"/>
      <charset val="1"/>
    </font>
    <font>
      <sz val="9"/>
      <color rgb="FF404040"/>
      <name val="Arial"/>
      <family val="0"/>
      <charset val="1"/>
    </font>
    <font>
      <b val="true"/>
      <sz val="10"/>
      <color rgb="FFC00000"/>
      <name val="Arial"/>
      <family val="0"/>
      <charset val="1"/>
    </font>
    <font>
      <b val="true"/>
      <sz val="12"/>
      <color rgb="FF0000FF"/>
      <name val="Arial"/>
      <family val="0"/>
      <charset val="1"/>
    </font>
    <font>
      <i val="true"/>
      <sz val="9"/>
      <color rgb="FF000000"/>
      <name val="Arial"/>
      <family val="0"/>
      <charset val="1"/>
    </font>
    <font>
      <sz val="9"/>
      <color rgb="FF595959"/>
      <name val="Arial"/>
      <family val="0"/>
      <charset val="1"/>
    </font>
    <font>
      <b val="true"/>
      <sz val="10.5"/>
      <color rgb="FF000000"/>
      <name val="Arial"/>
      <family val="0"/>
      <charset val="1"/>
    </font>
    <font>
      <sz val="10.5"/>
      <color rgb="FF000000"/>
      <name val="Arial"/>
      <family val="0"/>
      <charset val="1"/>
    </font>
    <font>
      <b val="true"/>
      <sz val="9.5"/>
      <color rgb="FFFFFFFF"/>
      <name val="Arial"/>
      <family val="0"/>
      <charset val="1"/>
    </font>
    <font>
      <sz val="9.5"/>
      <color rgb="FF000000"/>
      <name val="Arial"/>
      <family val="0"/>
      <charset val="1"/>
    </font>
    <font>
      <b val="true"/>
      <sz val="10"/>
      <color rgb="FF000000"/>
      <name val="Arial"/>
      <family val="0"/>
      <charset val="1"/>
    </font>
    <font>
      <i val="true"/>
      <sz val="9"/>
      <color rgb="FF404040"/>
      <name val="Arial"/>
      <family val="0"/>
      <charset val="1"/>
    </font>
    <font>
      <i val="true"/>
      <sz val="9.5"/>
      <color rgb="FF000000"/>
      <name val="Arial"/>
      <family val="0"/>
      <charset val="1"/>
    </font>
    <font>
      <sz val="7.5"/>
      <color rgb="FF7F7F7F"/>
      <name val="Arial"/>
      <family val="0"/>
      <charset val="1"/>
    </font>
    <font>
      <b val="true"/>
      <sz val="11"/>
      <color rgb="FF1F3864"/>
      <name val="Arial"/>
      <family val="0"/>
      <charset val="1"/>
    </font>
    <font>
      <sz val="9"/>
      <name val="Consolas"/>
      <family val="0"/>
      <charset val="1"/>
    </font>
  </fonts>
  <fills count="7">
    <fill>
      <patternFill patternType="none"/>
    </fill>
    <fill>
      <patternFill patternType="gray125"/>
    </fill>
    <fill>
      <patternFill patternType="solid">
        <fgColor rgb="FF1F3864"/>
        <bgColor rgb="FF333399"/>
      </patternFill>
    </fill>
    <fill>
      <patternFill patternType="solid">
        <fgColor rgb="FFFFF2CC"/>
        <bgColor rgb="FFF2F2F2"/>
      </patternFill>
    </fill>
    <fill>
      <patternFill patternType="solid">
        <fgColor rgb="FF548235"/>
        <bgColor rgb="FF339966"/>
      </patternFill>
    </fill>
    <fill>
      <patternFill patternType="solid">
        <fgColor rgb="FFF2F2F2"/>
        <bgColor rgb="FFFFFFFF"/>
      </patternFill>
    </fill>
    <fill>
      <patternFill patternType="solid">
        <fgColor rgb="FFD9E1F2"/>
        <bgColor rgb="FFF2F2F2"/>
      </patternFill>
    </fill>
  </fills>
  <borders count="5">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medium">
        <color rgb="FF1F3864"/>
      </bottom>
      <diagonal/>
    </border>
    <border diagonalUp="false" diagonalDown="false">
      <left/>
      <right/>
      <top style="thin">
        <color rgb="FF1F3864"/>
      </top>
      <bottom style="thin">
        <color rgb="FF1F3864"/>
      </bottom>
      <diagonal/>
    </border>
    <border diagonalUp="false" diagonalDown="false">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left" vertical="top" textRotation="0" wrapText="true" indent="0" shrinkToFit="false"/>
      <protection locked="true" hidden="false"/>
    </xf>
    <xf numFmtId="165" fontId="11" fillId="3" borderId="1" xfId="0" applyFont="true" applyBorder="true" applyAlignment="true" applyProtection="false">
      <alignment horizontal="left" vertical="top" textRotation="0" wrapText="true" indent="0" shrinkToFit="false"/>
      <protection locked="true" hidden="false"/>
    </xf>
    <xf numFmtId="166" fontId="11" fillId="3" borderId="1" xfId="0" applyFont="true" applyBorder="true" applyAlignment="true" applyProtection="false">
      <alignment horizontal="left" vertical="top" textRotation="0" wrapText="true" indent="0" shrinkToFit="false"/>
      <protection locked="true" hidden="false"/>
    </xf>
    <xf numFmtId="167" fontId="11" fillId="3" borderId="1" xfId="0" applyFont="true" applyBorder="true" applyAlignment="true" applyProtection="false">
      <alignment horizontal="left"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center" vertical="center" textRotation="0" wrapText="true" indent="0" shrinkToFit="false"/>
      <protection locked="true" hidden="false"/>
    </xf>
    <xf numFmtId="164" fontId="14"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false" applyProtection="false">
      <alignment horizontal="general" vertical="bottom" textRotation="0" wrapText="false" indent="0" shrinkToFit="false"/>
      <protection locked="true" hidden="false"/>
    </xf>
    <xf numFmtId="169" fontId="7" fillId="5" borderId="1" xfId="0" applyFont="true" applyBorder="true" applyAlignment="false" applyProtection="false">
      <alignment horizontal="general" vertical="bottom" textRotation="0" wrapText="false" indent="0" shrinkToFit="false"/>
      <protection locked="true" hidden="false"/>
    </xf>
    <xf numFmtId="170" fontId="7" fillId="5" borderId="1"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true" applyAlignment="true" applyProtection="false">
      <alignment horizontal="right"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19" fillId="3" borderId="1"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7" fillId="0" borderId="2"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general" vertical="top" textRotation="0" wrapText="true" indent="0" shrinkToFit="false"/>
      <protection locked="true" hidden="false"/>
    </xf>
    <xf numFmtId="164" fontId="22" fillId="0" borderId="0"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justify" vertical="top" textRotation="0" wrapText="true" indent="0" shrinkToFit="false"/>
      <protection locked="true" hidden="false"/>
    </xf>
    <xf numFmtId="164" fontId="24" fillId="2" borderId="1" xfId="0" applyFont="true" applyBorder="true" applyAlignment="true" applyProtection="false">
      <alignment horizontal="left" vertical="center" textRotation="0" wrapText="false" indent="0" shrinkToFit="false"/>
      <protection locked="true" hidden="false"/>
    </xf>
    <xf numFmtId="164" fontId="24" fillId="2" borderId="1" xfId="0" applyFont="true" applyBorder="true" applyAlignment="true" applyProtection="false">
      <alignment horizontal="center" vertical="center" textRotation="0" wrapText="false" indent="0" shrinkToFit="false"/>
      <protection locked="true" hidden="false"/>
    </xf>
    <xf numFmtId="164" fontId="25" fillId="0" borderId="0" xfId="0" applyFont="true" applyBorder="false" applyAlignment="true" applyProtection="false">
      <alignment horizontal="left" vertical="center" textRotation="0" wrapText="true" indent="0" shrinkToFit="false"/>
      <protection locked="true" hidden="false"/>
    </xf>
    <xf numFmtId="169" fontId="25" fillId="0" borderId="0" xfId="0" applyFont="true" applyBorder="false" applyAlignment="true" applyProtection="false">
      <alignment horizontal="right" vertical="center" textRotation="0" wrapText="false" indent="0" shrinkToFit="false"/>
      <protection locked="true" hidden="false"/>
    </xf>
    <xf numFmtId="171" fontId="25" fillId="0" borderId="0" xfId="0" applyFont="true" applyBorder="false" applyAlignment="true" applyProtection="false">
      <alignment horizontal="right" vertical="center" textRotation="0" wrapText="false" indent="0" shrinkToFit="false"/>
      <protection locked="true" hidden="false"/>
    </xf>
    <xf numFmtId="164" fontId="26" fillId="6" borderId="3" xfId="0" applyFont="true" applyBorder="true" applyAlignment="true" applyProtection="false">
      <alignment horizontal="left" vertical="center" textRotation="0" wrapText="false" indent="0" shrinkToFit="false"/>
      <protection locked="true" hidden="false"/>
    </xf>
    <xf numFmtId="169" fontId="26" fillId="6" borderId="3" xfId="0" applyFont="true" applyBorder="true" applyAlignment="true" applyProtection="false">
      <alignment horizontal="right" vertical="center" textRotation="0" wrapText="false" indent="0" shrinkToFit="false"/>
      <protection locked="true" hidden="false"/>
    </xf>
    <xf numFmtId="171" fontId="26" fillId="6" borderId="3" xfId="0" applyFont="true" applyBorder="true" applyAlignment="true" applyProtection="false">
      <alignment horizontal="right" vertical="center" textRotation="0" wrapText="false" indent="0" shrinkToFit="false"/>
      <protection locked="tru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8" fillId="0" borderId="0" xfId="0" applyFont="true" applyBorder="true" applyAlignment="false" applyProtection="false">
      <alignment horizontal="general" vertical="bottom" textRotation="0" wrapText="false" indent="0" shrinkToFit="false"/>
      <protection locked="true" hidden="false"/>
    </xf>
    <xf numFmtId="164" fontId="29" fillId="0" borderId="4" xfId="0" applyFont="true" applyBorder="true" applyAlignment="true" applyProtection="false">
      <alignment horizontal="center" vertical="bottom" textRotation="0" wrapText="tru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8" fontId="31"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548235"/>
          <bgColor rgb="FF000000"/>
        </patternFill>
      </fill>
    </dxf>
    <dxf>
      <fill>
        <patternFill patternType="solid">
          <fgColor rgb="FFF2F2F2"/>
          <bgColor rgb="FF000000"/>
        </patternFill>
      </fill>
    </dxf>
    <dxf>
      <fill>
        <patternFill patternType="solid">
          <fgColor rgb="FF000000"/>
          <bgColor rgb="FF000000"/>
        </patternFill>
      </fill>
    </dxf>
    <dxf>
      <border diagonalUp="false" diagonalDown="false">
        <left/>
        <right/>
        <top/>
        <bottom style="thin">
          <color rgb="FFBFBFBF"/>
        </bottom>
        <diagonal/>
      </border>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7F7F7F"/>
      <rgbColor rgb="FF9999FF"/>
      <rgbColor rgb="FF993366"/>
      <rgbColor rgb="FFFFF2CC"/>
      <rgbColor rgb="FFF2F2F2"/>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4" t="s">
        <v>2</v>
      </c>
    </row>
    <row r="6" customFormat="false" ht="45.75" hidden="false" customHeight="true" outlineLevel="0" collapsed="false">
      <c r="B6" s="5" t="s">
        <v>3</v>
      </c>
    </row>
    <row r="7" customFormat="false" ht="15" hidden="false" customHeight="false" outlineLevel="0" collapsed="false">
      <c r="B7" s="3"/>
    </row>
    <row r="8" customFormat="false" ht="15" hidden="false" customHeight="false" outlineLevel="0" collapsed="false">
      <c r="B8" s="4" t="s">
        <v>4</v>
      </c>
    </row>
    <row r="9" customFormat="false" ht="60" hidden="false" customHeight="true" outlineLevel="0" collapsed="false">
      <c r="B9" s="5" t="s">
        <v>5</v>
      </c>
    </row>
    <row r="10" customFormat="false" ht="15" hidden="false" customHeight="false" outlineLevel="0" collapsed="false">
      <c r="B10" s="3"/>
    </row>
    <row r="11" customFormat="false" ht="15" hidden="false" customHeight="false" outlineLevel="0" collapsed="false">
      <c r="B11" s="4" t="s">
        <v>6</v>
      </c>
    </row>
    <row r="12" customFormat="false" ht="45.75" hidden="false" customHeight="true" outlineLevel="0" collapsed="false">
      <c r="B12" s="5" t="s">
        <v>7</v>
      </c>
    </row>
    <row r="13" customFormat="false" ht="15" hidden="false" customHeight="false" outlineLevel="0" collapsed="false">
      <c r="B13" s="3"/>
    </row>
    <row r="14" customFormat="false" ht="15" hidden="false" customHeight="false" outlineLevel="0" collapsed="false">
      <c r="B14" s="4" t="s">
        <v>8</v>
      </c>
    </row>
    <row r="15" customFormat="false" ht="115.5" hidden="false" customHeight="true" outlineLevel="0" collapsed="false">
      <c r="B15" s="5" t="s">
        <v>9</v>
      </c>
    </row>
    <row r="16" customFormat="false" ht="15" hidden="false" customHeight="false" outlineLevel="0" collapsed="false">
      <c r="B16" s="3"/>
    </row>
    <row r="17" customFormat="false" ht="15" hidden="false" customHeight="false" outlineLevel="0" collapsed="false">
      <c r="B17" s="4" t="s">
        <v>10</v>
      </c>
    </row>
    <row r="18" customFormat="false" ht="31.5" hidden="false" customHeight="true" outlineLevel="0" collapsed="false">
      <c r="B18" s="5" t="s">
        <v>11</v>
      </c>
    </row>
    <row r="19" customFormat="false" ht="15" hidden="false" customHeight="false" outlineLevel="0" collapsed="false">
      <c r="B19" s="3"/>
    </row>
    <row r="20" customFormat="false" ht="15" hidden="false" customHeight="false" outlineLevel="0" collapsed="false">
      <c r="B20" s="4" t="s">
        <v>12</v>
      </c>
    </row>
    <row r="21" customFormat="false" ht="31.5" hidden="false" customHeight="true" outlineLevel="0" collapsed="false">
      <c r="B21" s="5"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10"/>
  </cols>
  <sheetData>
    <row r="1" customFormat="false" ht="17.35" hidden="false" customHeight="false" outlineLevel="0" collapsed="false">
      <c r="A1" s="6" t="s">
        <v>14</v>
      </c>
    </row>
    <row r="2" customFormat="false" ht="15" hidden="false" customHeight="false" outlineLevel="0" collapsed="false">
      <c r="A2" s="7" t="s">
        <v>15</v>
      </c>
    </row>
    <row r="5" customFormat="false" ht="15" hidden="false" customHeight="false" outlineLevel="0" collapsed="false">
      <c r="A5" s="8" t="s">
        <v>16</v>
      </c>
      <c r="B5" s="9"/>
    </row>
    <row r="6" customFormat="false" ht="15" hidden="false" customHeight="false" outlineLevel="0" collapsed="false">
      <c r="A6" s="10" t="s">
        <v>17</v>
      </c>
      <c r="B6" s="11" t="s">
        <v>18</v>
      </c>
    </row>
    <row r="7" customFormat="false" ht="15" hidden="false" customHeight="false" outlineLevel="0" collapsed="false">
      <c r="A7" s="10" t="s">
        <v>19</v>
      </c>
      <c r="B7" s="11" t="s">
        <v>20</v>
      </c>
    </row>
    <row r="8" customFormat="false" ht="15" hidden="false" customHeight="false" outlineLevel="0" collapsed="false">
      <c r="A8" s="10" t="s">
        <v>21</v>
      </c>
      <c r="B8" s="11" t="s">
        <v>22</v>
      </c>
    </row>
    <row r="9" customFormat="false" ht="15" hidden="false" customHeight="false" outlineLevel="0" collapsed="false">
      <c r="A9" s="10" t="s">
        <v>23</v>
      </c>
      <c r="B9" s="11" t="s">
        <v>24</v>
      </c>
    </row>
    <row r="10" customFormat="false" ht="15" hidden="false" customHeight="false" outlineLevel="0" collapsed="false">
      <c r="A10" s="10" t="s">
        <v>25</v>
      </c>
      <c r="B10" s="11" t="s">
        <v>26</v>
      </c>
    </row>
    <row r="11" customFormat="false" ht="28.5" hidden="false" customHeight="true" outlineLevel="0" collapsed="false">
      <c r="A11" s="10" t="s">
        <v>27</v>
      </c>
      <c r="B11" s="11" t="s">
        <v>28</v>
      </c>
    </row>
    <row r="12" customFormat="false" ht="15" hidden="false" customHeight="false" outlineLevel="0" collapsed="false">
      <c r="A12" s="10" t="s">
        <v>29</v>
      </c>
      <c r="B12" s="11" t="s">
        <v>30</v>
      </c>
    </row>
    <row r="13" customFormat="false" ht="15" hidden="false" customHeight="false" outlineLevel="0" collapsed="false">
      <c r="A13" s="10" t="s">
        <v>31</v>
      </c>
      <c r="B13" s="11" t="s">
        <v>32</v>
      </c>
    </row>
    <row r="15" customFormat="false" ht="15" hidden="false" customHeight="false" outlineLevel="0" collapsed="false">
      <c r="A15" s="8" t="s">
        <v>33</v>
      </c>
      <c r="B15" s="9"/>
    </row>
    <row r="16" customFormat="false" ht="15" hidden="false" customHeight="false" outlineLevel="0" collapsed="false">
      <c r="A16" s="10" t="s">
        <v>34</v>
      </c>
      <c r="B16" s="12" t="n">
        <f aca="true">TODAY()</f>
        <v>46287</v>
      </c>
    </row>
    <row r="17" customFormat="false" ht="15" hidden="false" customHeight="false" outlineLevel="0" collapsed="false">
      <c r="A17" s="10" t="s">
        <v>35</v>
      </c>
      <c r="B17" s="12" t="n">
        <f aca="false">DATE(YEAR(Date_Courrier)+1,1,1)</f>
        <v>46388</v>
      </c>
    </row>
    <row r="19" customFormat="false" ht="15" hidden="false" customHeight="false" outlineLevel="0" collapsed="false">
      <c r="A19" s="8" t="s">
        <v>36</v>
      </c>
      <c r="B19" s="9"/>
    </row>
    <row r="20" customFormat="false" ht="15" hidden="false" customHeight="false" outlineLevel="0" collapsed="false">
      <c r="A20" s="10" t="s">
        <v>37</v>
      </c>
      <c r="B20" s="13" t="n">
        <v>0.035</v>
      </c>
    </row>
    <row r="21" customFormat="false" ht="15" hidden="false" customHeight="false" outlineLevel="0" collapsed="false">
      <c r="A21" s="10" t="s">
        <v>38</v>
      </c>
      <c r="B21" s="13" t="n">
        <v>0.04</v>
      </c>
    </row>
    <row r="22" customFormat="false" ht="15" hidden="false" customHeight="false" outlineLevel="0" collapsed="false">
      <c r="A22" s="10" t="s">
        <v>39</v>
      </c>
      <c r="B22" s="13" t="n">
        <v>0.03</v>
      </c>
    </row>
    <row r="23" customFormat="false" ht="15" hidden="false" customHeight="false" outlineLevel="0" collapsed="false">
      <c r="A23" s="10" t="s">
        <v>40</v>
      </c>
      <c r="B23" s="13" t="n">
        <v>0</v>
      </c>
    </row>
    <row r="24" customFormat="false" ht="15" hidden="false" customHeight="false" outlineLevel="0" collapsed="false">
      <c r="A24" s="10" t="s">
        <v>41</v>
      </c>
      <c r="B24" s="14" t="n">
        <v>1</v>
      </c>
    </row>
    <row r="25" customFormat="false" ht="15" hidden="false" customHeight="false" outlineLevel="0" collapsed="false">
      <c r="A25" s="10" t="s">
        <v>42</v>
      </c>
      <c r="B25" s="14" t="n">
        <v>12</v>
      </c>
    </row>
    <row r="26" customFormat="false" ht="15" hidden="false" customHeight="false" outlineLevel="0" collapsed="false">
      <c r="A26" s="10" t="s">
        <v>43</v>
      </c>
      <c r="B26" s="13" t="n">
        <v>0.2</v>
      </c>
    </row>
    <row r="28" customFormat="false" ht="15" hidden="false" customHeight="false" outlineLevel="0" collapsed="false">
      <c r="A28" s="8" t="s">
        <v>44</v>
      </c>
      <c r="B28" s="9"/>
    </row>
    <row r="29" customFormat="false" ht="15" hidden="false" customHeight="false" outlineLevel="0" collapsed="false">
      <c r="A29" s="10" t="s">
        <v>45</v>
      </c>
      <c r="B29" s="11" t="s">
        <v>46</v>
      </c>
    </row>
    <row r="30" customFormat="false" ht="15" hidden="false" customHeight="false" outlineLevel="0" collapsed="false">
      <c r="A30" s="10" t="s">
        <v>47</v>
      </c>
      <c r="B30" s="11" t="s">
        <v>48</v>
      </c>
    </row>
    <row r="31" customFormat="false" ht="15" hidden="false" customHeight="false" outlineLevel="0" collapsed="false">
      <c r="A31" s="10" t="s">
        <v>49</v>
      </c>
      <c r="B31" s="11" t="s">
        <v>50</v>
      </c>
    </row>
    <row r="32" customFormat="false" ht="15" hidden="false" customHeight="false" outlineLevel="0" collapsed="false">
      <c r="A32" s="10" t="s">
        <v>51</v>
      </c>
      <c r="B32" s="11" t="s">
        <v>52</v>
      </c>
    </row>
    <row r="34" customFormat="false" ht="15" hidden="false" customHeight="false" outlineLevel="0" collapsed="false">
      <c r="A34" s="8" t="s">
        <v>53</v>
      </c>
      <c r="B34" s="9"/>
    </row>
    <row r="35" customFormat="false" ht="15" hidden="false" customHeight="false" outlineLevel="0" collapsed="false">
      <c r="A35" s="10" t="s">
        <v>54</v>
      </c>
      <c r="B35" s="11" t="s">
        <v>55</v>
      </c>
    </row>
    <row r="36" customFormat="false" ht="42" hidden="false" customHeight="true" outlineLevel="0" collapsed="false">
      <c r="A36" s="10" t="s">
        <v>56</v>
      </c>
      <c r="B36" s="11" t="s">
        <v>57</v>
      </c>
    </row>
    <row r="37" customFormat="false" ht="54.75" hidden="false" customHeight="true" outlineLevel="0" collapsed="false">
      <c r="A37" s="10" t="s">
        <v>58</v>
      </c>
      <c r="B37" s="11" t="s">
        <v>59</v>
      </c>
    </row>
    <row r="38" customFormat="false" ht="67.5" hidden="false" customHeight="true" outlineLevel="0" collapsed="false">
      <c r="A38" s="10" t="s">
        <v>60</v>
      </c>
      <c r="B38" s="11" t="s">
        <v>61</v>
      </c>
    </row>
    <row r="39" customFormat="false" ht="28.5" hidden="false" customHeight="true" outlineLevel="0" collapsed="false">
      <c r="A39" s="10" t="s">
        <v>62</v>
      </c>
      <c r="B39" s="11" t="s">
        <v>63</v>
      </c>
    </row>
    <row r="40" customFormat="false" ht="28.5" hidden="false" customHeight="true" outlineLevel="0" collapsed="false">
      <c r="A40" s="10" t="s">
        <v>64</v>
      </c>
      <c r="B40" s="11" t="s">
        <v>65</v>
      </c>
    </row>
    <row r="41" customFormat="false" ht="28.5" hidden="false" customHeight="true" outlineLevel="0" collapsed="false">
      <c r="A41" s="10" t="s">
        <v>66</v>
      </c>
      <c r="B41" s="11" t="s">
        <v>67</v>
      </c>
    </row>
    <row r="42" customFormat="false" ht="15" hidden="false" customHeight="false" outlineLevel="0" collapsed="false">
      <c r="A42" s="10" t="s">
        <v>68</v>
      </c>
      <c r="B42" s="11" t="s">
        <v>69</v>
      </c>
    </row>
    <row r="45" customFormat="false" ht="15" hidden="false" customHeight="false" outlineLevel="0" collapsed="false">
      <c r="A45" s="7" t="s">
        <v>70</v>
      </c>
      <c r="B45" s="15" t="s">
        <v>71</v>
      </c>
    </row>
    <row r="46" customFormat="false" ht="15" hidden="false" customHeight="false" outlineLevel="0" collapsed="false">
      <c r="B46" s="15" t="s">
        <v>72</v>
      </c>
    </row>
    <row r="47" customFormat="false" ht="15" hidden="false" customHeight="false" outlineLevel="0" collapsed="false">
      <c r="B47" s="15" t="s">
        <v>73</v>
      </c>
    </row>
    <row r="48" customFormat="false" ht="15" hidden="false" customHeight="false" outlineLevel="0" collapsed="false">
      <c r="B48" s="15" t="s">
        <v>74</v>
      </c>
    </row>
    <row r="49" customFormat="false" ht="15" hidden="false" customHeight="false" outlineLevel="0" collapsed="false">
      <c r="B49" s="15" t="s">
        <v>75</v>
      </c>
    </row>
    <row r="50" customFormat="false" ht="15" hidden="false" customHeight="false" outlineLevel="0" collapsed="false">
      <c r="B50" s="15" t="s">
        <v>76</v>
      </c>
    </row>
    <row r="51" customFormat="false" ht="15" hidden="false" customHeight="false" outlineLevel="0" collapsed="false">
      <c r="B51" s="15" t="s">
        <v>77</v>
      </c>
    </row>
    <row r="52" customFormat="false" ht="15" hidden="false" customHeight="false" outlineLevel="0" collapsed="false">
      <c r="B52" s="15" t="s">
        <v>78</v>
      </c>
    </row>
    <row r="53" customFormat="false" ht="15" hidden="false" customHeight="false" outlineLevel="0" collapsed="false">
      <c r="B53" s="15" t="s">
        <v>79</v>
      </c>
    </row>
    <row r="54" customFormat="false" ht="15" hidden="false" customHeight="false" outlineLevel="0" collapsed="false">
      <c r="B54" s="15" t="s">
        <v>80</v>
      </c>
    </row>
    <row r="55" customFormat="false" ht="15" hidden="false" customHeight="false" outlineLevel="0" collapsed="false">
      <c r="B55" s="15" t="s">
        <v>81</v>
      </c>
    </row>
    <row r="56" customFormat="false" ht="15" hidden="false" customHeight="false" outlineLevel="0" collapsed="false">
      <c r="B56" s="15"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6" min="5" style="0" width="28"/>
    <col collapsed="false" customWidth="true" hidden="false" outlineLevel="0" max="7" min="7" style="0" width="18"/>
    <col collapsed="false" customWidth="true" hidden="false" outlineLevel="0" max="8" min="8" style="0" width="10"/>
    <col collapsed="false" customWidth="true" hidden="false" outlineLevel="0" max="9" min="9" style="0" width="16"/>
    <col collapsed="false" customWidth="true" hidden="false" outlineLevel="0" max="10" min="10" style="0" width="26"/>
    <col collapsed="false" customWidth="true" hidden="false" outlineLevel="0" max="14" min="11" style="0" width="13"/>
    <col collapsed="false" customWidth="true" hidden="false" outlineLevel="0" max="15" min="15" style="0" width="12"/>
    <col collapsed="false" customWidth="true" hidden="false" outlineLevel="0" max="21" min="16" style="0" width="13"/>
    <col collapsed="false" customWidth="true" hidden="false" outlineLevel="0" max="22" min="22" style="0" width="11"/>
    <col collapsed="false" customWidth="true" hidden="false" outlineLevel="0" max="23" min="23" style="0" width="9"/>
    <col collapsed="false" customWidth="true" hidden="false" outlineLevel="0" max="24" min="24" style="0" width="10"/>
    <col collapsed="false" customWidth="true" hidden="false" outlineLevel="0" max="25" min="25" style="0" width="12"/>
  </cols>
  <sheetData>
    <row r="1" customFormat="false" ht="31.5" hidden="false" customHeight="true" outlineLevel="0" collapsed="false">
      <c r="A1" s="16" t="s">
        <v>83</v>
      </c>
      <c r="B1" s="16" t="s">
        <v>84</v>
      </c>
      <c r="C1" s="16" t="s">
        <v>85</v>
      </c>
      <c r="D1" s="16" t="s">
        <v>86</v>
      </c>
      <c r="E1" s="16" t="s">
        <v>87</v>
      </c>
      <c r="F1" s="16" t="s">
        <v>88</v>
      </c>
      <c r="G1" s="16" t="s">
        <v>89</v>
      </c>
      <c r="H1" s="16" t="s">
        <v>90</v>
      </c>
      <c r="I1" s="16" t="s">
        <v>91</v>
      </c>
      <c r="J1" s="16" t="s">
        <v>92</v>
      </c>
      <c r="K1" s="16" t="s">
        <v>93</v>
      </c>
      <c r="L1" s="16" t="s">
        <v>94</v>
      </c>
      <c r="M1" s="16" t="s">
        <v>95</v>
      </c>
      <c r="N1" s="16" t="s">
        <v>96</v>
      </c>
      <c r="O1" s="16" t="s">
        <v>97</v>
      </c>
      <c r="P1" s="17" t="s">
        <v>98</v>
      </c>
      <c r="Q1" s="17" t="s">
        <v>99</v>
      </c>
      <c r="R1" s="17" t="s">
        <v>100</v>
      </c>
      <c r="S1" s="17" t="s">
        <v>101</v>
      </c>
      <c r="T1" s="17" t="s">
        <v>102</v>
      </c>
      <c r="U1" s="17" t="s">
        <v>103</v>
      </c>
      <c r="V1" s="17" t="s">
        <v>104</v>
      </c>
      <c r="W1" s="17" t="s">
        <v>105</v>
      </c>
      <c r="X1" s="16" t="s">
        <v>106</v>
      </c>
      <c r="Y1" s="16" t="s">
        <v>107</v>
      </c>
    </row>
    <row r="2" customFormat="false" ht="15" hidden="false" customHeight="false" outlineLevel="0" collapsed="false">
      <c r="A2" s="18" t="s">
        <v>108</v>
      </c>
      <c r="B2" s="18" t="s">
        <v>109</v>
      </c>
      <c r="C2" s="18" t="s">
        <v>110</v>
      </c>
      <c r="D2" s="18" t="s">
        <v>111</v>
      </c>
      <c r="E2" s="18" t="s">
        <v>112</v>
      </c>
      <c r="F2" s="18" t="s">
        <v>113</v>
      </c>
      <c r="G2" s="18"/>
      <c r="H2" s="19" t="s">
        <v>114</v>
      </c>
      <c r="I2" s="18" t="s">
        <v>115</v>
      </c>
      <c r="J2" s="18" t="s">
        <v>116</v>
      </c>
      <c r="K2" s="20" t="n">
        <v>3600</v>
      </c>
      <c r="L2" s="20" t="n">
        <v>1800</v>
      </c>
      <c r="M2" s="20" t="n">
        <v>600</v>
      </c>
      <c r="N2" s="20" t="n">
        <v>240</v>
      </c>
      <c r="O2" s="21"/>
      <c r="P2" s="22" t="n">
        <f aca="false">IF(OR($A2="",N(K2)=0),0,CEILING(K2*(1+IF($O2="",Taux_Compta,$O2))-0.005,Pas_Arrondi))</f>
        <v>3726</v>
      </c>
      <c r="Q2" s="22" t="n">
        <f aca="false">IF(OR($A2="",N(L2)=0),0,CEILING(L2*(1+IF($O2="",Taux_Paye,$O2))-0.005,Pas_Arrondi))</f>
        <v>1872</v>
      </c>
      <c r="R2" s="22" t="n">
        <f aca="false">IF(OR($A2="",N(M2)=0),0,CEILING(M2*(1+IF($O2="",Taux_Jur,$O2))-0.005,Pas_Arrondi))</f>
        <v>618</v>
      </c>
      <c r="S2" s="22" t="n">
        <f aca="false">IF(OR($A2="",N(N2)=0),0,CEILING(N2*(1+IF($O2="",Taux_PA,$O2))-0.005,Pas_Arrondi))</f>
        <v>240</v>
      </c>
      <c r="T2" s="22" t="n">
        <f aca="false">IF($A2="","",SUM(K2:N2))</f>
        <v>6240</v>
      </c>
      <c r="U2" s="22" t="n">
        <f aca="false">IF($A2="","",SUM(P2:S2))</f>
        <v>6456</v>
      </c>
      <c r="V2" s="22" t="n">
        <f aca="false">IF($A2="","",U2-T2)</f>
        <v>216</v>
      </c>
      <c r="W2" s="23" t="n">
        <f aca="false">IF(OR($A2="",N(T2)=0),"",V2/T2)</f>
        <v>0.0346153846153846</v>
      </c>
      <c r="X2" s="18" t="s">
        <v>117</v>
      </c>
      <c r="Y2" s="18" t="s">
        <v>118</v>
      </c>
    </row>
    <row r="3" customFormat="false" ht="15" hidden="false" customHeight="false" outlineLevel="0" collapsed="false">
      <c r="A3" s="18" t="s">
        <v>119</v>
      </c>
      <c r="B3" s="18" t="s">
        <v>120</v>
      </c>
      <c r="C3" s="18" t="s">
        <v>121</v>
      </c>
      <c r="D3" s="18" t="s">
        <v>122</v>
      </c>
      <c r="E3" s="18" t="s">
        <v>123</v>
      </c>
      <c r="F3" s="18" t="s">
        <v>124</v>
      </c>
      <c r="G3" s="18" t="s">
        <v>125</v>
      </c>
      <c r="H3" s="19" t="s">
        <v>126</v>
      </c>
      <c r="I3" s="18" t="s">
        <v>127</v>
      </c>
      <c r="J3" s="18" t="s">
        <v>128</v>
      </c>
      <c r="K3" s="20" t="n">
        <v>5400</v>
      </c>
      <c r="L3" s="20" t="n">
        <v>0</v>
      </c>
      <c r="M3" s="20" t="n">
        <v>900</v>
      </c>
      <c r="N3" s="20" t="n">
        <v>0</v>
      </c>
      <c r="O3" s="21" t="n">
        <v>0.025</v>
      </c>
      <c r="P3" s="22" t="n">
        <f aca="false">IF(OR($A3="",N(K3)=0),0,CEILING(K3*(1+IF($O3="",Taux_Compta,$O3))-0.005,Pas_Arrondi))</f>
        <v>5535</v>
      </c>
      <c r="Q3" s="22" t="n">
        <f aca="false">IF(OR($A3="",N(L3)=0),0,CEILING(L3*(1+IF($O3="",Taux_Paye,$O3))-0.005,Pas_Arrondi))</f>
        <v>0</v>
      </c>
      <c r="R3" s="22" t="n">
        <f aca="false">IF(OR($A3="",N(M3)=0),0,CEILING(M3*(1+IF($O3="",Taux_Jur,$O3))-0.005,Pas_Arrondi))</f>
        <v>923</v>
      </c>
      <c r="S3" s="22" t="n">
        <f aca="false">IF(OR($A3="",N(N3)=0),0,CEILING(N3*(1+IF($O3="",Taux_PA,$O3))-0.005,Pas_Arrondi))</f>
        <v>0</v>
      </c>
      <c r="T3" s="22" t="n">
        <f aca="false">IF($A3="","",SUM(K3:N3))</f>
        <v>6300</v>
      </c>
      <c r="U3" s="22" t="n">
        <f aca="false">IF($A3="","",SUM(P3:S3))</f>
        <v>6458</v>
      </c>
      <c r="V3" s="22" t="n">
        <f aca="false">IF($A3="","",U3-T3)</f>
        <v>158</v>
      </c>
      <c r="W3" s="23" t="n">
        <f aca="false">IF(OR($A3="",N(T3)=0),"",V3/T3)</f>
        <v>0.0250793650793651</v>
      </c>
      <c r="X3" s="18" t="s">
        <v>117</v>
      </c>
      <c r="Y3" s="18" t="s">
        <v>92</v>
      </c>
    </row>
    <row r="4" customFormat="false" ht="15" hidden="false" customHeight="false" outlineLevel="0" collapsed="false">
      <c r="A4" s="18" t="s">
        <v>129</v>
      </c>
      <c r="B4" s="18"/>
      <c r="C4" s="18"/>
      <c r="D4" s="18"/>
      <c r="E4" s="18" t="s">
        <v>130</v>
      </c>
      <c r="F4" s="18" t="s">
        <v>131</v>
      </c>
      <c r="G4" s="18"/>
      <c r="H4" s="19" t="s">
        <v>132</v>
      </c>
      <c r="I4" s="18" t="s">
        <v>133</v>
      </c>
      <c r="J4" s="18" t="s">
        <v>134</v>
      </c>
      <c r="K4" s="20" t="n">
        <v>2400</v>
      </c>
      <c r="L4" s="20" t="n">
        <v>1200</v>
      </c>
      <c r="M4" s="20" t="n">
        <v>0</v>
      </c>
      <c r="N4" s="20" t="n">
        <v>180</v>
      </c>
      <c r="O4" s="21"/>
      <c r="P4" s="22" t="n">
        <f aca="false">IF(OR($A4="",N(K4)=0),0,CEILING(K4*(1+IF($O4="",Taux_Compta,$O4))-0.005,Pas_Arrondi))</f>
        <v>2484</v>
      </c>
      <c r="Q4" s="22" t="n">
        <f aca="false">IF(OR($A4="",N(L4)=0),0,CEILING(L4*(1+IF($O4="",Taux_Paye,$O4))-0.005,Pas_Arrondi))</f>
        <v>1248</v>
      </c>
      <c r="R4" s="22" t="n">
        <f aca="false">IF(OR($A4="",N(M4)=0),0,CEILING(M4*(1+IF($O4="",Taux_Jur,$O4))-0.005,Pas_Arrondi))</f>
        <v>0</v>
      </c>
      <c r="S4" s="22" t="n">
        <f aca="false">IF(OR($A4="",N(N4)=0),0,CEILING(N4*(1+IF($O4="",Taux_PA,$O4))-0.005,Pas_Arrondi))</f>
        <v>180</v>
      </c>
      <c r="T4" s="22" t="n">
        <f aca="false">IF($A4="","",SUM(K4:N4))</f>
        <v>3780</v>
      </c>
      <c r="U4" s="22" t="n">
        <f aca="false">IF($A4="","",SUM(P4:S4))</f>
        <v>3912</v>
      </c>
      <c r="V4" s="22" t="n">
        <f aca="false">IF($A4="","",U4-T4)</f>
        <v>132</v>
      </c>
      <c r="W4" s="23" t="n">
        <f aca="false">IF(OR($A4="",N(T4)=0),"",V4/T4)</f>
        <v>0.0349206349206349</v>
      </c>
      <c r="X4" s="18" t="s">
        <v>135</v>
      </c>
      <c r="Y4" s="18" t="s">
        <v>118</v>
      </c>
    </row>
    <row r="5" customFormat="false" ht="15" hidden="false" customHeight="false" outlineLevel="0" collapsed="false">
      <c r="A5" s="18"/>
      <c r="B5" s="18"/>
      <c r="C5" s="18"/>
      <c r="D5" s="18"/>
      <c r="E5" s="18"/>
      <c r="F5" s="18"/>
      <c r="G5" s="18"/>
      <c r="H5" s="19"/>
      <c r="I5" s="18"/>
      <c r="J5" s="18"/>
      <c r="K5" s="20"/>
      <c r="L5" s="20"/>
      <c r="M5" s="20"/>
      <c r="N5" s="20"/>
      <c r="O5" s="21"/>
      <c r="P5" s="22" t="n">
        <f aca="false">IF(OR($A5="",N(K5)=0),0,CEILING(K5*(1+IF($O5="",Taux_Compta,$O5))-0.005,Pas_Arrondi))</f>
        <v>0</v>
      </c>
      <c r="Q5" s="22" t="n">
        <f aca="false">IF(OR($A5="",N(L5)=0),0,CEILING(L5*(1+IF($O5="",Taux_Paye,$O5))-0.005,Pas_Arrondi))</f>
        <v>0</v>
      </c>
      <c r="R5" s="22" t="n">
        <f aca="false">IF(OR($A5="",N(M5)=0),0,CEILING(M5*(1+IF($O5="",Taux_Jur,$O5))-0.005,Pas_Arrondi))</f>
        <v>0</v>
      </c>
      <c r="S5" s="22" t="n">
        <f aca="false">IF(OR($A5="",N(N5)=0),0,CEILING(N5*(1+IF($O5="",Taux_PA,$O5))-0.005,Pas_Arrondi))</f>
        <v>0</v>
      </c>
      <c r="T5" s="22" t="str">
        <f aca="false">IF($A5="","",SUM(K5:N5))</f>
        <v/>
      </c>
      <c r="U5" s="22" t="str">
        <f aca="false">IF($A5="","",SUM(P5:S5))</f>
        <v/>
      </c>
      <c r="V5" s="22" t="str">
        <f aca="false">IF($A5="","",U5-T5)</f>
        <v/>
      </c>
      <c r="W5" s="23" t="str">
        <f aca="false">IF(OR($A5="",N(T5)=0),"",V5/T5)</f>
        <v/>
      </c>
      <c r="X5" s="18"/>
      <c r="Y5" s="18"/>
    </row>
    <row r="6" customFormat="false" ht="15" hidden="false" customHeight="false" outlineLevel="0" collapsed="false">
      <c r="A6" s="18"/>
      <c r="B6" s="18"/>
      <c r="C6" s="18"/>
      <c r="D6" s="18"/>
      <c r="E6" s="18"/>
      <c r="F6" s="18"/>
      <c r="G6" s="18"/>
      <c r="H6" s="19"/>
      <c r="I6" s="18"/>
      <c r="J6" s="18"/>
      <c r="K6" s="20"/>
      <c r="L6" s="20"/>
      <c r="M6" s="20"/>
      <c r="N6" s="20"/>
      <c r="O6" s="21"/>
      <c r="P6" s="22" t="n">
        <f aca="false">IF(OR($A6="",N(K6)=0),0,CEILING(K6*(1+IF($O6="",Taux_Compta,$O6))-0.005,Pas_Arrondi))</f>
        <v>0</v>
      </c>
      <c r="Q6" s="22" t="n">
        <f aca="false">IF(OR($A6="",N(L6)=0),0,CEILING(L6*(1+IF($O6="",Taux_Paye,$O6))-0.005,Pas_Arrondi))</f>
        <v>0</v>
      </c>
      <c r="R6" s="22" t="n">
        <f aca="false">IF(OR($A6="",N(M6)=0),0,CEILING(M6*(1+IF($O6="",Taux_Jur,$O6))-0.005,Pas_Arrondi))</f>
        <v>0</v>
      </c>
      <c r="S6" s="22" t="n">
        <f aca="false">IF(OR($A6="",N(N6)=0),0,CEILING(N6*(1+IF($O6="",Taux_PA,$O6))-0.005,Pas_Arrondi))</f>
        <v>0</v>
      </c>
      <c r="T6" s="22" t="str">
        <f aca="false">IF($A6="","",SUM(K6:N6))</f>
        <v/>
      </c>
      <c r="U6" s="22" t="str">
        <f aca="false">IF($A6="","",SUM(P6:S6))</f>
        <v/>
      </c>
      <c r="V6" s="22" t="str">
        <f aca="false">IF($A6="","",U6-T6)</f>
        <v/>
      </c>
      <c r="W6" s="23" t="str">
        <f aca="false">IF(OR($A6="",N(T6)=0),"",V6/T6)</f>
        <v/>
      </c>
      <c r="X6" s="18"/>
      <c r="Y6" s="18"/>
    </row>
    <row r="7" customFormat="false" ht="15" hidden="false" customHeight="false" outlineLevel="0" collapsed="false">
      <c r="A7" s="18"/>
      <c r="B7" s="18"/>
      <c r="C7" s="18"/>
      <c r="D7" s="18"/>
      <c r="E7" s="18"/>
      <c r="F7" s="18"/>
      <c r="G7" s="18"/>
      <c r="H7" s="19"/>
      <c r="I7" s="18"/>
      <c r="J7" s="18"/>
      <c r="K7" s="20"/>
      <c r="L7" s="20"/>
      <c r="M7" s="20"/>
      <c r="N7" s="20"/>
      <c r="O7" s="21"/>
      <c r="P7" s="22" t="n">
        <f aca="false">IF(OR($A7="",N(K7)=0),0,CEILING(K7*(1+IF($O7="",Taux_Compta,$O7))-0.005,Pas_Arrondi))</f>
        <v>0</v>
      </c>
      <c r="Q7" s="22" t="n">
        <f aca="false">IF(OR($A7="",N(L7)=0),0,CEILING(L7*(1+IF($O7="",Taux_Paye,$O7))-0.005,Pas_Arrondi))</f>
        <v>0</v>
      </c>
      <c r="R7" s="22" t="n">
        <f aca="false">IF(OR($A7="",N(M7)=0),0,CEILING(M7*(1+IF($O7="",Taux_Jur,$O7))-0.005,Pas_Arrondi))</f>
        <v>0</v>
      </c>
      <c r="S7" s="22" t="n">
        <f aca="false">IF(OR($A7="",N(N7)=0),0,CEILING(N7*(1+IF($O7="",Taux_PA,$O7))-0.005,Pas_Arrondi))</f>
        <v>0</v>
      </c>
      <c r="T7" s="22" t="str">
        <f aca="false">IF($A7="","",SUM(K7:N7))</f>
        <v/>
      </c>
      <c r="U7" s="22" t="str">
        <f aca="false">IF($A7="","",SUM(P7:S7))</f>
        <v/>
      </c>
      <c r="V7" s="22" t="str">
        <f aca="false">IF($A7="","",U7-T7)</f>
        <v/>
      </c>
      <c r="W7" s="23" t="str">
        <f aca="false">IF(OR($A7="",N(T7)=0),"",V7/T7)</f>
        <v/>
      </c>
      <c r="X7" s="18"/>
      <c r="Y7" s="18"/>
    </row>
    <row r="8" customFormat="false" ht="15" hidden="false" customHeight="false" outlineLevel="0" collapsed="false">
      <c r="A8" s="18"/>
      <c r="B8" s="18"/>
      <c r="C8" s="18"/>
      <c r="D8" s="18"/>
      <c r="E8" s="18"/>
      <c r="F8" s="18"/>
      <c r="G8" s="18"/>
      <c r="H8" s="19"/>
      <c r="I8" s="18"/>
      <c r="J8" s="18"/>
      <c r="K8" s="20"/>
      <c r="L8" s="20"/>
      <c r="M8" s="20"/>
      <c r="N8" s="20"/>
      <c r="O8" s="21"/>
      <c r="P8" s="22" t="n">
        <f aca="false">IF(OR($A8="",N(K8)=0),0,CEILING(K8*(1+IF($O8="",Taux_Compta,$O8))-0.005,Pas_Arrondi))</f>
        <v>0</v>
      </c>
      <c r="Q8" s="22" t="n">
        <f aca="false">IF(OR($A8="",N(L8)=0),0,CEILING(L8*(1+IF($O8="",Taux_Paye,$O8))-0.005,Pas_Arrondi))</f>
        <v>0</v>
      </c>
      <c r="R8" s="22" t="n">
        <f aca="false">IF(OR($A8="",N(M8)=0),0,CEILING(M8*(1+IF($O8="",Taux_Jur,$O8))-0.005,Pas_Arrondi))</f>
        <v>0</v>
      </c>
      <c r="S8" s="22" t="n">
        <f aca="false">IF(OR($A8="",N(N8)=0),0,CEILING(N8*(1+IF($O8="",Taux_PA,$O8))-0.005,Pas_Arrondi))</f>
        <v>0</v>
      </c>
      <c r="T8" s="22" t="str">
        <f aca="false">IF($A8="","",SUM(K8:N8))</f>
        <v/>
      </c>
      <c r="U8" s="22" t="str">
        <f aca="false">IF($A8="","",SUM(P8:S8))</f>
        <v/>
      </c>
      <c r="V8" s="22" t="str">
        <f aca="false">IF($A8="","",U8-T8)</f>
        <v/>
      </c>
      <c r="W8" s="23" t="str">
        <f aca="false">IF(OR($A8="",N(T8)=0),"",V8/T8)</f>
        <v/>
      </c>
      <c r="X8" s="18"/>
      <c r="Y8" s="18"/>
    </row>
    <row r="9" customFormat="false" ht="15" hidden="false" customHeight="false" outlineLevel="0" collapsed="false">
      <c r="A9" s="18"/>
      <c r="B9" s="18"/>
      <c r="C9" s="18"/>
      <c r="D9" s="18"/>
      <c r="E9" s="18"/>
      <c r="F9" s="18"/>
      <c r="G9" s="18"/>
      <c r="H9" s="19"/>
      <c r="I9" s="18"/>
      <c r="J9" s="18"/>
      <c r="K9" s="20"/>
      <c r="L9" s="20"/>
      <c r="M9" s="20"/>
      <c r="N9" s="20"/>
      <c r="O9" s="21"/>
      <c r="P9" s="22" t="n">
        <f aca="false">IF(OR($A9="",N(K9)=0),0,CEILING(K9*(1+IF($O9="",Taux_Compta,$O9))-0.005,Pas_Arrondi))</f>
        <v>0</v>
      </c>
      <c r="Q9" s="22" t="n">
        <f aca="false">IF(OR($A9="",N(L9)=0),0,CEILING(L9*(1+IF($O9="",Taux_Paye,$O9))-0.005,Pas_Arrondi))</f>
        <v>0</v>
      </c>
      <c r="R9" s="22" t="n">
        <f aca="false">IF(OR($A9="",N(M9)=0),0,CEILING(M9*(1+IF($O9="",Taux_Jur,$O9))-0.005,Pas_Arrondi))</f>
        <v>0</v>
      </c>
      <c r="S9" s="22" t="n">
        <f aca="false">IF(OR($A9="",N(N9)=0),0,CEILING(N9*(1+IF($O9="",Taux_PA,$O9))-0.005,Pas_Arrondi))</f>
        <v>0</v>
      </c>
      <c r="T9" s="22" t="str">
        <f aca="false">IF($A9="","",SUM(K9:N9))</f>
        <v/>
      </c>
      <c r="U9" s="22" t="str">
        <f aca="false">IF($A9="","",SUM(P9:S9))</f>
        <v/>
      </c>
      <c r="V9" s="22" t="str">
        <f aca="false">IF($A9="","",U9-T9)</f>
        <v/>
      </c>
      <c r="W9" s="23" t="str">
        <f aca="false">IF(OR($A9="",N(T9)=0),"",V9/T9)</f>
        <v/>
      </c>
      <c r="X9" s="18"/>
      <c r="Y9" s="18"/>
    </row>
    <row r="10" customFormat="false" ht="15" hidden="false" customHeight="false" outlineLevel="0" collapsed="false">
      <c r="A10" s="18"/>
      <c r="B10" s="18"/>
      <c r="C10" s="18"/>
      <c r="D10" s="18"/>
      <c r="E10" s="18"/>
      <c r="F10" s="18"/>
      <c r="G10" s="18"/>
      <c r="H10" s="19"/>
      <c r="I10" s="18"/>
      <c r="J10" s="18"/>
      <c r="K10" s="20"/>
      <c r="L10" s="20"/>
      <c r="M10" s="20"/>
      <c r="N10" s="20"/>
      <c r="O10" s="21"/>
      <c r="P10" s="22" t="n">
        <f aca="false">IF(OR($A10="",N(K10)=0),0,CEILING(K10*(1+IF($O10="",Taux_Compta,$O10))-0.005,Pas_Arrondi))</f>
        <v>0</v>
      </c>
      <c r="Q10" s="22" t="n">
        <f aca="false">IF(OR($A10="",N(L10)=0),0,CEILING(L10*(1+IF($O10="",Taux_Paye,$O10))-0.005,Pas_Arrondi))</f>
        <v>0</v>
      </c>
      <c r="R10" s="22" t="n">
        <f aca="false">IF(OR($A10="",N(M10)=0),0,CEILING(M10*(1+IF($O10="",Taux_Jur,$O10))-0.005,Pas_Arrondi))</f>
        <v>0</v>
      </c>
      <c r="S10" s="22" t="n">
        <f aca="false">IF(OR($A10="",N(N10)=0),0,CEILING(N10*(1+IF($O10="",Taux_PA,$O10))-0.005,Pas_Arrondi))</f>
        <v>0</v>
      </c>
      <c r="T10" s="22" t="str">
        <f aca="false">IF($A10="","",SUM(K10:N10))</f>
        <v/>
      </c>
      <c r="U10" s="22" t="str">
        <f aca="false">IF($A10="","",SUM(P10:S10))</f>
        <v/>
      </c>
      <c r="V10" s="22" t="str">
        <f aca="false">IF($A10="","",U10-T10)</f>
        <v/>
      </c>
      <c r="W10" s="23" t="str">
        <f aca="false">IF(OR($A10="",N(T10)=0),"",V10/T10)</f>
        <v/>
      </c>
      <c r="X10" s="18"/>
      <c r="Y10" s="18"/>
    </row>
    <row r="11" customFormat="false" ht="15" hidden="false" customHeight="false" outlineLevel="0" collapsed="false">
      <c r="A11" s="18"/>
      <c r="B11" s="18"/>
      <c r="C11" s="18"/>
      <c r="D11" s="18"/>
      <c r="E11" s="18"/>
      <c r="F11" s="18"/>
      <c r="G11" s="18"/>
      <c r="H11" s="19"/>
      <c r="I11" s="18"/>
      <c r="J11" s="18"/>
      <c r="K11" s="20"/>
      <c r="L11" s="20"/>
      <c r="M11" s="20"/>
      <c r="N11" s="20"/>
      <c r="O11" s="21"/>
      <c r="P11" s="22" t="n">
        <f aca="false">IF(OR($A11="",N(K11)=0),0,CEILING(K11*(1+IF($O11="",Taux_Compta,$O11))-0.005,Pas_Arrondi))</f>
        <v>0</v>
      </c>
      <c r="Q11" s="22" t="n">
        <f aca="false">IF(OR($A11="",N(L11)=0),0,CEILING(L11*(1+IF($O11="",Taux_Paye,$O11))-0.005,Pas_Arrondi))</f>
        <v>0</v>
      </c>
      <c r="R11" s="22" t="n">
        <f aca="false">IF(OR($A11="",N(M11)=0),0,CEILING(M11*(1+IF($O11="",Taux_Jur,$O11))-0.005,Pas_Arrondi))</f>
        <v>0</v>
      </c>
      <c r="S11" s="22" t="n">
        <f aca="false">IF(OR($A11="",N(N11)=0),0,CEILING(N11*(1+IF($O11="",Taux_PA,$O11))-0.005,Pas_Arrondi))</f>
        <v>0</v>
      </c>
      <c r="T11" s="22" t="str">
        <f aca="false">IF($A11="","",SUM(K11:N11))</f>
        <v/>
      </c>
      <c r="U11" s="22" t="str">
        <f aca="false">IF($A11="","",SUM(P11:S11))</f>
        <v/>
      </c>
      <c r="V11" s="22" t="str">
        <f aca="false">IF($A11="","",U11-T11)</f>
        <v/>
      </c>
      <c r="W11" s="23" t="str">
        <f aca="false">IF(OR($A11="",N(T11)=0),"",V11/T11)</f>
        <v/>
      </c>
      <c r="X11" s="18"/>
      <c r="Y11" s="18"/>
    </row>
    <row r="12" customFormat="false" ht="15" hidden="false" customHeight="false" outlineLevel="0" collapsed="false">
      <c r="A12" s="18"/>
      <c r="B12" s="18"/>
      <c r="C12" s="18"/>
      <c r="D12" s="18"/>
      <c r="E12" s="18"/>
      <c r="F12" s="18"/>
      <c r="G12" s="18"/>
      <c r="H12" s="19"/>
      <c r="I12" s="18"/>
      <c r="J12" s="18"/>
      <c r="K12" s="20"/>
      <c r="L12" s="20"/>
      <c r="M12" s="20"/>
      <c r="N12" s="20"/>
      <c r="O12" s="21"/>
      <c r="P12" s="22" t="n">
        <f aca="false">IF(OR($A12="",N(K12)=0),0,CEILING(K12*(1+IF($O12="",Taux_Compta,$O12))-0.005,Pas_Arrondi))</f>
        <v>0</v>
      </c>
      <c r="Q12" s="22" t="n">
        <f aca="false">IF(OR($A12="",N(L12)=0),0,CEILING(L12*(1+IF($O12="",Taux_Paye,$O12))-0.005,Pas_Arrondi))</f>
        <v>0</v>
      </c>
      <c r="R12" s="22" t="n">
        <f aca="false">IF(OR($A12="",N(M12)=0),0,CEILING(M12*(1+IF($O12="",Taux_Jur,$O12))-0.005,Pas_Arrondi))</f>
        <v>0</v>
      </c>
      <c r="S12" s="22" t="n">
        <f aca="false">IF(OR($A12="",N(N12)=0),0,CEILING(N12*(1+IF($O12="",Taux_PA,$O12))-0.005,Pas_Arrondi))</f>
        <v>0</v>
      </c>
      <c r="T12" s="22" t="str">
        <f aca="false">IF($A12="","",SUM(K12:N12))</f>
        <v/>
      </c>
      <c r="U12" s="22" t="str">
        <f aca="false">IF($A12="","",SUM(P12:S12))</f>
        <v/>
      </c>
      <c r="V12" s="22" t="str">
        <f aca="false">IF($A12="","",U12-T12)</f>
        <v/>
      </c>
      <c r="W12" s="23" t="str">
        <f aca="false">IF(OR($A12="",N(T12)=0),"",V12/T12)</f>
        <v/>
      </c>
      <c r="X12" s="18"/>
      <c r="Y12" s="18"/>
    </row>
    <row r="13" customFormat="false" ht="15" hidden="false" customHeight="false" outlineLevel="0" collapsed="false">
      <c r="A13" s="18"/>
      <c r="B13" s="18"/>
      <c r="C13" s="18"/>
      <c r="D13" s="18"/>
      <c r="E13" s="18"/>
      <c r="F13" s="18"/>
      <c r="G13" s="18"/>
      <c r="H13" s="19"/>
      <c r="I13" s="18"/>
      <c r="J13" s="18"/>
      <c r="K13" s="20"/>
      <c r="L13" s="20"/>
      <c r="M13" s="20"/>
      <c r="N13" s="20"/>
      <c r="O13" s="21"/>
      <c r="P13" s="22" t="n">
        <f aca="false">IF(OR($A13="",N(K13)=0),0,CEILING(K13*(1+IF($O13="",Taux_Compta,$O13))-0.005,Pas_Arrondi))</f>
        <v>0</v>
      </c>
      <c r="Q13" s="22" t="n">
        <f aca="false">IF(OR($A13="",N(L13)=0),0,CEILING(L13*(1+IF($O13="",Taux_Paye,$O13))-0.005,Pas_Arrondi))</f>
        <v>0</v>
      </c>
      <c r="R13" s="22" t="n">
        <f aca="false">IF(OR($A13="",N(M13)=0),0,CEILING(M13*(1+IF($O13="",Taux_Jur,$O13))-0.005,Pas_Arrondi))</f>
        <v>0</v>
      </c>
      <c r="S13" s="22" t="n">
        <f aca="false">IF(OR($A13="",N(N13)=0),0,CEILING(N13*(1+IF($O13="",Taux_PA,$O13))-0.005,Pas_Arrondi))</f>
        <v>0</v>
      </c>
      <c r="T13" s="22" t="str">
        <f aca="false">IF($A13="","",SUM(K13:N13))</f>
        <v/>
      </c>
      <c r="U13" s="22" t="str">
        <f aca="false">IF($A13="","",SUM(P13:S13))</f>
        <v/>
      </c>
      <c r="V13" s="22" t="str">
        <f aca="false">IF($A13="","",U13-T13)</f>
        <v/>
      </c>
      <c r="W13" s="23" t="str">
        <f aca="false">IF(OR($A13="",N(T13)=0),"",V13/T13)</f>
        <v/>
      </c>
      <c r="X13" s="18"/>
      <c r="Y13" s="18"/>
    </row>
    <row r="14" customFormat="false" ht="15" hidden="false" customHeight="false" outlineLevel="0" collapsed="false">
      <c r="A14" s="18"/>
      <c r="B14" s="18"/>
      <c r="C14" s="18"/>
      <c r="D14" s="18"/>
      <c r="E14" s="18"/>
      <c r="F14" s="18"/>
      <c r="G14" s="18"/>
      <c r="H14" s="19"/>
      <c r="I14" s="18"/>
      <c r="J14" s="18"/>
      <c r="K14" s="20"/>
      <c r="L14" s="20"/>
      <c r="M14" s="20"/>
      <c r="N14" s="20"/>
      <c r="O14" s="21"/>
      <c r="P14" s="22" t="n">
        <f aca="false">IF(OR($A14="",N(K14)=0),0,CEILING(K14*(1+IF($O14="",Taux_Compta,$O14))-0.005,Pas_Arrondi))</f>
        <v>0</v>
      </c>
      <c r="Q14" s="22" t="n">
        <f aca="false">IF(OR($A14="",N(L14)=0),0,CEILING(L14*(1+IF($O14="",Taux_Paye,$O14))-0.005,Pas_Arrondi))</f>
        <v>0</v>
      </c>
      <c r="R14" s="22" t="n">
        <f aca="false">IF(OR($A14="",N(M14)=0),0,CEILING(M14*(1+IF($O14="",Taux_Jur,$O14))-0.005,Pas_Arrondi))</f>
        <v>0</v>
      </c>
      <c r="S14" s="22" t="n">
        <f aca="false">IF(OR($A14="",N(N14)=0),0,CEILING(N14*(1+IF($O14="",Taux_PA,$O14))-0.005,Pas_Arrondi))</f>
        <v>0</v>
      </c>
      <c r="T14" s="22" t="str">
        <f aca="false">IF($A14="","",SUM(K14:N14))</f>
        <v/>
      </c>
      <c r="U14" s="22" t="str">
        <f aca="false">IF($A14="","",SUM(P14:S14))</f>
        <v/>
      </c>
      <c r="V14" s="22" t="str">
        <f aca="false">IF($A14="","",U14-T14)</f>
        <v/>
      </c>
      <c r="W14" s="23" t="str">
        <f aca="false">IF(OR($A14="",N(T14)=0),"",V14/T14)</f>
        <v/>
      </c>
      <c r="X14" s="18"/>
      <c r="Y14" s="18"/>
    </row>
    <row r="15" customFormat="false" ht="15" hidden="false" customHeight="false" outlineLevel="0" collapsed="false">
      <c r="A15" s="18"/>
      <c r="B15" s="18"/>
      <c r="C15" s="18"/>
      <c r="D15" s="18"/>
      <c r="E15" s="18"/>
      <c r="F15" s="18"/>
      <c r="G15" s="18"/>
      <c r="H15" s="19"/>
      <c r="I15" s="18"/>
      <c r="J15" s="18"/>
      <c r="K15" s="20"/>
      <c r="L15" s="20"/>
      <c r="M15" s="20"/>
      <c r="N15" s="20"/>
      <c r="O15" s="21"/>
      <c r="P15" s="22" t="n">
        <f aca="false">IF(OR($A15="",N(K15)=0),0,CEILING(K15*(1+IF($O15="",Taux_Compta,$O15))-0.005,Pas_Arrondi))</f>
        <v>0</v>
      </c>
      <c r="Q15" s="22" t="n">
        <f aca="false">IF(OR($A15="",N(L15)=0),0,CEILING(L15*(1+IF($O15="",Taux_Paye,$O15))-0.005,Pas_Arrondi))</f>
        <v>0</v>
      </c>
      <c r="R15" s="22" t="n">
        <f aca="false">IF(OR($A15="",N(M15)=0),0,CEILING(M15*(1+IF($O15="",Taux_Jur,$O15))-0.005,Pas_Arrondi))</f>
        <v>0</v>
      </c>
      <c r="S15" s="22" t="n">
        <f aca="false">IF(OR($A15="",N(N15)=0),0,CEILING(N15*(1+IF($O15="",Taux_PA,$O15))-0.005,Pas_Arrondi))</f>
        <v>0</v>
      </c>
      <c r="T15" s="22" t="str">
        <f aca="false">IF($A15="","",SUM(K15:N15))</f>
        <v/>
      </c>
      <c r="U15" s="22" t="str">
        <f aca="false">IF($A15="","",SUM(P15:S15))</f>
        <v/>
      </c>
      <c r="V15" s="22" t="str">
        <f aca="false">IF($A15="","",U15-T15)</f>
        <v/>
      </c>
      <c r="W15" s="23" t="str">
        <f aca="false">IF(OR($A15="",N(T15)=0),"",V15/T15)</f>
        <v/>
      </c>
      <c r="X15" s="18"/>
      <c r="Y15" s="18"/>
    </row>
    <row r="16" customFormat="false" ht="15" hidden="false" customHeight="false" outlineLevel="0" collapsed="false">
      <c r="A16" s="18"/>
      <c r="B16" s="18"/>
      <c r="C16" s="18"/>
      <c r="D16" s="18"/>
      <c r="E16" s="18"/>
      <c r="F16" s="18"/>
      <c r="G16" s="18"/>
      <c r="H16" s="19"/>
      <c r="I16" s="18"/>
      <c r="J16" s="18"/>
      <c r="K16" s="20"/>
      <c r="L16" s="20"/>
      <c r="M16" s="20"/>
      <c r="N16" s="20"/>
      <c r="O16" s="21"/>
      <c r="P16" s="22" t="n">
        <f aca="false">IF(OR($A16="",N(K16)=0),0,CEILING(K16*(1+IF($O16="",Taux_Compta,$O16))-0.005,Pas_Arrondi))</f>
        <v>0</v>
      </c>
      <c r="Q16" s="22" t="n">
        <f aca="false">IF(OR($A16="",N(L16)=0),0,CEILING(L16*(1+IF($O16="",Taux_Paye,$O16))-0.005,Pas_Arrondi))</f>
        <v>0</v>
      </c>
      <c r="R16" s="22" t="n">
        <f aca="false">IF(OR($A16="",N(M16)=0),0,CEILING(M16*(1+IF($O16="",Taux_Jur,$O16))-0.005,Pas_Arrondi))</f>
        <v>0</v>
      </c>
      <c r="S16" s="22" t="n">
        <f aca="false">IF(OR($A16="",N(N16)=0),0,CEILING(N16*(1+IF($O16="",Taux_PA,$O16))-0.005,Pas_Arrondi))</f>
        <v>0</v>
      </c>
      <c r="T16" s="22" t="str">
        <f aca="false">IF($A16="","",SUM(K16:N16))</f>
        <v/>
      </c>
      <c r="U16" s="22" t="str">
        <f aca="false">IF($A16="","",SUM(P16:S16))</f>
        <v/>
      </c>
      <c r="V16" s="22" t="str">
        <f aca="false">IF($A16="","",U16-T16)</f>
        <v/>
      </c>
      <c r="W16" s="23" t="str">
        <f aca="false">IF(OR($A16="",N(T16)=0),"",V16/T16)</f>
        <v/>
      </c>
      <c r="X16" s="18"/>
      <c r="Y16" s="18"/>
    </row>
    <row r="17" customFormat="false" ht="15" hidden="false" customHeight="false" outlineLevel="0" collapsed="false">
      <c r="A17" s="18"/>
      <c r="B17" s="18"/>
      <c r="C17" s="18"/>
      <c r="D17" s="18"/>
      <c r="E17" s="18"/>
      <c r="F17" s="18"/>
      <c r="G17" s="18"/>
      <c r="H17" s="19"/>
      <c r="I17" s="18"/>
      <c r="J17" s="18"/>
      <c r="K17" s="20"/>
      <c r="L17" s="20"/>
      <c r="M17" s="20"/>
      <c r="N17" s="20"/>
      <c r="O17" s="21"/>
      <c r="P17" s="22" t="n">
        <f aca="false">IF(OR($A17="",N(K17)=0),0,CEILING(K17*(1+IF($O17="",Taux_Compta,$O17))-0.005,Pas_Arrondi))</f>
        <v>0</v>
      </c>
      <c r="Q17" s="22" t="n">
        <f aca="false">IF(OR($A17="",N(L17)=0),0,CEILING(L17*(1+IF($O17="",Taux_Paye,$O17))-0.005,Pas_Arrondi))</f>
        <v>0</v>
      </c>
      <c r="R17" s="22" t="n">
        <f aca="false">IF(OR($A17="",N(M17)=0),0,CEILING(M17*(1+IF($O17="",Taux_Jur,$O17))-0.005,Pas_Arrondi))</f>
        <v>0</v>
      </c>
      <c r="S17" s="22" t="n">
        <f aca="false">IF(OR($A17="",N(N17)=0),0,CEILING(N17*(1+IF($O17="",Taux_PA,$O17))-0.005,Pas_Arrondi))</f>
        <v>0</v>
      </c>
      <c r="T17" s="22" t="str">
        <f aca="false">IF($A17="","",SUM(K17:N17))</f>
        <v/>
      </c>
      <c r="U17" s="22" t="str">
        <f aca="false">IF($A17="","",SUM(P17:S17))</f>
        <v/>
      </c>
      <c r="V17" s="22" t="str">
        <f aca="false">IF($A17="","",U17-T17)</f>
        <v/>
      </c>
      <c r="W17" s="23" t="str">
        <f aca="false">IF(OR($A17="",N(T17)=0),"",V17/T17)</f>
        <v/>
      </c>
      <c r="X17" s="18"/>
      <c r="Y17" s="18"/>
    </row>
    <row r="18" customFormat="false" ht="15" hidden="false" customHeight="false" outlineLevel="0" collapsed="false">
      <c r="A18" s="18"/>
      <c r="B18" s="18"/>
      <c r="C18" s="18"/>
      <c r="D18" s="18"/>
      <c r="E18" s="18"/>
      <c r="F18" s="18"/>
      <c r="G18" s="18"/>
      <c r="H18" s="19"/>
      <c r="I18" s="18"/>
      <c r="J18" s="18"/>
      <c r="K18" s="20"/>
      <c r="L18" s="20"/>
      <c r="M18" s="20"/>
      <c r="N18" s="20"/>
      <c r="O18" s="21"/>
      <c r="P18" s="22" t="n">
        <f aca="false">IF(OR($A18="",N(K18)=0),0,CEILING(K18*(1+IF($O18="",Taux_Compta,$O18))-0.005,Pas_Arrondi))</f>
        <v>0</v>
      </c>
      <c r="Q18" s="22" t="n">
        <f aca="false">IF(OR($A18="",N(L18)=0),0,CEILING(L18*(1+IF($O18="",Taux_Paye,$O18))-0.005,Pas_Arrondi))</f>
        <v>0</v>
      </c>
      <c r="R18" s="22" t="n">
        <f aca="false">IF(OR($A18="",N(M18)=0),0,CEILING(M18*(1+IF($O18="",Taux_Jur,$O18))-0.005,Pas_Arrondi))</f>
        <v>0</v>
      </c>
      <c r="S18" s="22" t="n">
        <f aca="false">IF(OR($A18="",N(N18)=0),0,CEILING(N18*(1+IF($O18="",Taux_PA,$O18))-0.005,Pas_Arrondi))</f>
        <v>0</v>
      </c>
      <c r="T18" s="22" t="str">
        <f aca="false">IF($A18="","",SUM(K18:N18))</f>
        <v/>
      </c>
      <c r="U18" s="22" t="str">
        <f aca="false">IF($A18="","",SUM(P18:S18))</f>
        <v/>
      </c>
      <c r="V18" s="22" t="str">
        <f aca="false">IF($A18="","",U18-T18)</f>
        <v/>
      </c>
      <c r="W18" s="23" t="str">
        <f aca="false">IF(OR($A18="",N(T18)=0),"",V18/T18)</f>
        <v/>
      </c>
      <c r="X18" s="18"/>
      <c r="Y18" s="18"/>
    </row>
    <row r="19" customFormat="false" ht="15" hidden="false" customHeight="false" outlineLevel="0" collapsed="false">
      <c r="A19" s="18"/>
      <c r="B19" s="18"/>
      <c r="C19" s="18"/>
      <c r="D19" s="18"/>
      <c r="E19" s="18"/>
      <c r="F19" s="18"/>
      <c r="G19" s="18"/>
      <c r="H19" s="19"/>
      <c r="I19" s="18"/>
      <c r="J19" s="18"/>
      <c r="K19" s="20"/>
      <c r="L19" s="20"/>
      <c r="M19" s="20"/>
      <c r="N19" s="20"/>
      <c r="O19" s="21"/>
      <c r="P19" s="22" t="n">
        <f aca="false">IF(OR($A19="",N(K19)=0),0,CEILING(K19*(1+IF($O19="",Taux_Compta,$O19))-0.005,Pas_Arrondi))</f>
        <v>0</v>
      </c>
      <c r="Q19" s="22" t="n">
        <f aca="false">IF(OR($A19="",N(L19)=0),0,CEILING(L19*(1+IF($O19="",Taux_Paye,$O19))-0.005,Pas_Arrondi))</f>
        <v>0</v>
      </c>
      <c r="R19" s="22" t="n">
        <f aca="false">IF(OR($A19="",N(M19)=0),0,CEILING(M19*(1+IF($O19="",Taux_Jur,$O19))-0.005,Pas_Arrondi))</f>
        <v>0</v>
      </c>
      <c r="S19" s="22" t="n">
        <f aca="false">IF(OR($A19="",N(N19)=0),0,CEILING(N19*(1+IF($O19="",Taux_PA,$O19))-0.005,Pas_Arrondi))</f>
        <v>0</v>
      </c>
      <c r="T19" s="22" t="str">
        <f aca="false">IF($A19="","",SUM(K19:N19))</f>
        <v/>
      </c>
      <c r="U19" s="22" t="str">
        <f aca="false">IF($A19="","",SUM(P19:S19))</f>
        <v/>
      </c>
      <c r="V19" s="22" t="str">
        <f aca="false">IF($A19="","",U19-T19)</f>
        <v/>
      </c>
      <c r="W19" s="23" t="str">
        <f aca="false">IF(OR($A19="",N(T19)=0),"",V19/T19)</f>
        <v/>
      </c>
      <c r="X19" s="18"/>
      <c r="Y19" s="18"/>
    </row>
    <row r="20" customFormat="false" ht="15" hidden="false" customHeight="false" outlineLevel="0" collapsed="false">
      <c r="A20" s="18"/>
      <c r="B20" s="18"/>
      <c r="C20" s="18"/>
      <c r="D20" s="18"/>
      <c r="E20" s="18"/>
      <c r="F20" s="18"/>
      <c r="G20" s="18"/>
      <c r="H20" s="19"/>
      <c r="I20" s="18"/>
      <c r="J20" s="18"/>
      <c r="K20" s="20"/>
      <c r="L20" s="20"/>
      <c r="M20" s="20"/>
      <c r="N20" s="20"/>
      <c r="O20" s="21"/>
      <c r="P20" s="22" t="n">
        <f aca="false">IF(OR($A20="",N(K20)=0),0,CEILING(K20*(1+IF($O20="",Taux_Compta,$O20))-0.005,Pas_Arrondi))</f>
        <v>0</v>
      </c>
      <c r="Q20" s="22" t="n">
        <f aca="false">IF(OR($A20="",N(L20)=0),0,CEILING(L20*(1+IF($O20="",Taux_Paye,$O20))-0.005,Pas_Arrondi))</f>
        <v>0</v>
      </c>
      <c r="R20" s="22" t="n">
        <f aca="false">IF(OR($A20="",N(M20)=0),0,CEILING(M20*(1+IF($O20="",Taux_Jur,$O20))-0.005,Pas_Arrondi))</f>
        <v>0</v>
      </c>
      <c r="S20" s="22" t="n">
        <f aca="false">IF(OR($A20="",N(N20)=0),0,CEILING(N20*(1+IF($O20="",Taux_PA,$O20))-0.005,Pas_Arrondi))</f>
        <v>0</v>
      </c>
      <c r="T20" s="22" t="str">
        <f aca="false">IF($A20="","",SUM(K20:N20))</f>
        <v/>
      </c>
      <c r="U20" s="22" t="str">
        <f aca="false">IF($A20="","",SUM(P20:S20))</f>
        <v/>
      </c>
      <c r="V20" s="22" t="str">
        <f aca="false">IF($A20="","",U20-T20)</f>
        <v/>
      </c>
      <c r="W20" s="23" t="str">
        <f aca="false">IF(OR($A20="",N(T20)=0),"",V20/T20)</f>
        <v/>
      </c>
      <c r="X20" s="18"/>
      <c r="Y20" s="18"/>
    </row>
    <row r="21" customFormat="false" ht="15" hidden="false" customHeight="false" outlineLevel="0" collapsed="false">
      <c r="A21" s="18"/>
      <c r="B21" s="18"/>
      <c r="C21" s="18"/>
      <c r="D21" s="18"/>
      <c r="E21" s="18"/>
      <c r="F21" s="18"/>
      <c r="G21" s="18"/>
      <c r="H21" s="19"/>
      <c r="I21" s="18"/>
      <c r="J21" s="18"/>
      <c r="K21" s="20"/>
      <c r="L21" s="20"/>
      <c r="M21" s="20"/>
      <c r="N21" s="20"/>
      <c r="O21" s="21"/>
      <c r="P21" s="22" t="n">
        <f aca="false">IF(OR($A21="",N(K21)=0),0,CEILING(K21*(1+IF($O21="",Taux_Compta,$O21))-0.005,Pas_Arrondi))</f>
        <v>0</v>
      </c>
      <c r="Q21" s="22" t="n">
        <f aca="false">IF(OR($A21="",N(L21)=0),0,CEILING(L21*(1+IF($O21="",Taux_Paye,$O21))-0.005,Pas_Arrondi))</f>
        <v>0</v>
      </c>
      <c r="R21" s="22" t="n">
        <f aca="false">IF(OR($A21="",N(M21)=0),0,CEILING(M21*(1+IF($O21="",Taux_Jur,$O21))-0.005,Pas_Arrondi))</f>
        <v>0</v>
      </c>
      <c r="S21" s="22" t="n">
        <f aca="false">IF(OR($A21="",N(N21)=0),0,CEILING(N21*(1+IF($O21="",Taux_PA,$O21))-0.005,Pas_Arrondi))</f>
        <v>0</v>
      </c>
      <c r="T21" s="22" t="str">
        <f aca="false">IF($A21="","",SUM(K21:N21))</f>
        <v/>
      </c>
      <c r="U21" s="22" t="str">
        <f aca="false">IF($A21="","",SUM(P21:S21))</f>
        <v/>
      </c>
      <c r="V21" s="22" t="str">
        <f aca="false">IF($A21="","",U21-T21)</f>
        <v/>
      </c>
      <c r="W21" s="23" t="str">
        <f aca="false">IF(OR($A21="",N(T21)=0),"",V21/T21)</f>
        <v/>
      </c>
      <c r="X21" s="18"/>
      <c r="Y21" s="18"/>
    </row>
    <row r="22" customFormat="false" ht="15" hidden="false" customHeight="false" outlineLevel="0" collapsed="false">
      <c r="A22" s="18"/>
      <c r="B22" s="18"/>
      <c r="C22" s="18"/>
      <c r="D22" s="18"/>
      <c r="E22" s="18"/>
      <c r="F22" s="18"/>
      <c r="G22" s="18"/>
      <c r="H22" s="19"/>
      <c r="I22" s="18"/>
      <c r="J22" s="18"/>
      <c r="K22" s="20"/>
      <c r="L22" s="20"/>
      <c r="M22" s="20"/>
      <c r="N22" s="20"/>
      <c r="O22" s="21"/>
      <c r="P22" s="22" t="n">
        <f aca="false">IF(OR($A22="",N(K22)=0),0,CEILING(K22*(1+IF($O22="",Taux_Compta,$O22))-0.005,Pas_Arrondi))</f>
        <v>0</v>
      </c>
      <c r="Q22" s="22" t="n">
        <f aca="false">IF(OR($A22="",N(L22)=0),0,CEILING(L22*(1+IF($O22="",Taux_Paye,$O22))-0.005,Pas_Arrondi))</f>
        <v>0</v>
      </c>
      <c r="R22" s="22" t="n">
        <f aca="false">IF(OR($A22="",N(M22)=0),0,CEILING(M22*(1+IF($O22="",Taux_Jur,$O22))-0.005,Pas_Arrondi))</f>
        <v>0</v>
      </c>
      <c r="S22" s="22" t="n">
        <f aca="false">IF(OR($A22="",N(N22)=0),0,CEILING(N22*(1+IF($O22="",Taux_PA,$O22))-0.005,Pas_Arrondi))</f>
        <v>0</v>
      </c>
      <c r="T22" s="22" t="str">
        <f aca="false">IF($A22="","",SUM(K22:N22))</f>
        <v/>
      </c>
      <c r="U22" s="22" t="str">
        <f aca="false">IF($A22="","",SUM(P22:S22))</f>
        <v/>
      </c>
      <c r="V22" s="22" t="str">
        <f aca="false">IF($A22="","",U22-T22)</f>
        <v/>
      </c>
      <c r="W22" s="23" t="str">
        <f aca="false">IF(OR($A22="",N(T22)=0),"",V22/T22)</f>
        <v/>
      </c>
      <c r="X22" s="18"/>
      <c r="Y22" s="18"/>
    </row>
    <row r="23" customFormat="false" ht="15" hidden="false" customHeight="false" outlineLevel="0" collapsed="false">
      <c r="A23" s="18"/>
      <c r="B23" s="18"/>
      <c r="C23" s="18"/>
      <c r="D23" s="18"/>
      <c r="E23" s="18"/>
      <c r="F23" s="18"/>
      <c r="G23" s="18"/>
      <c r="H23" s="19"/>
      <c r="I23" s="18"/>
      <c r="J23" s="18"/>
      <c r="K23" s="20"/>
      <c r="L23" s="20"/>
      <c r="M23" s="20"/>
      <c r="N23" s="20"/>
      <c r="O23" s="21"/>
      <c r="P23" s="22" t="n">
        <f aca="false">IF(OR($A23="",N(K23)=0),0,CEILING(K23*(1+IF($O23="",Taux_Compta,$O23))-0.005,Pas_Arrondi))</f>
        <v>0</v>
      </c>
      <c r="Q23" s="22" t="n">
        <f aca="false">IF(OR($A23="",N(L23)=0),0,CEILING(L23*(1+IF($O23="",Taux_Paye,$O23))-0.005,Pas_Arrondi))</f>
        <v>0</v>
      </c>
      <c r="R23" s="22" t="n">
        <f aca="false">IF(OR($A23="",N(M23)=0),0,CEILING(M23*(1+IF($O23="",Taux_Jur,$O23))-0.005,Pas_Arrondi))</f>
        <v>0</v>
      </c>
      <c r="S23" s="22" t="n">
        <f aca="false">IF(OR($A23="",N(N23)=0),0,CEILING(N23*(1+IF($O23="",Taux_PA,$O23))-0.005,Pas_Arrondi))</f>
        <v>0</v>
      </c>
      <c r="T23" s="22" t="str">
        <f aca="false">IF($A23="","",SUM(K23:N23))</f>
        <v/>
      </c>
      <c r="U23" s="22" t="str">
        <f aca="false">IF($A23="","",SUM(P23:S23))</f>
        <v/>
      </c>
      <c r="V23" s="22" t="str">
        <f aca="false">IF($A23="","",U23-T23)</f>
        <v/>
      </c>
      <c r="W23" s="23" t="str">
        <f aca="false">IF(OR($A23="",N(T23)=0),"",V23/T23)</f>
        <v/>
      </c>
      <c r="X23" s="18"/>
      <c r="Y23" s="18"/>
    </row>
    <row r="24" customFormat="false" ht="15" hidden="false" customHeight="false" outlineLevel="0" collapsed="false">
      <c r="A24" s="18"/>
      <c r="B24" s="18"/>
      <c r="C24" s="18"/>
      <c r="D24" s="18"/>
      <c r="E24" s="18"/>
      <c r="F24" s="18"/>
      <c r="G24" s="18"/>
      <c r="H24" s="19"/>
      <c r="I24" s="18"/>
      <c r="J24" s="18"/>
      <c r="K24" s="20"/>
      <c r="L24" s="20"/>
      <c r="M24" s="20"/>
      <c r="N24" s="20"/>
      <c r="O24" s="21"/>
      <c r="P24" s="22" t="n">
        <f aca="false">IF(OR($A24="",N(K24)=0),0,CEILING(K24*(1+IF($O24="",Taux_Compta,$O24))-0.005,Pas_Arrondi))</f>
        <v>0</v>
      </c>
      <c r="Q24" s="22" t="n">
        <f aca="false">IF(OR($A24="",N(L24)=0),0,CEILING(L24*(1+IF($O24="",Taux_Paye,$O24))-0.005,Pas_Arrondi))</f>
        <v>0</v>
      </c>
      <c r="R24" s="22" t="n">
        <f aca="false">IF(OR($A24="",N(M24)=0),0,CEILING(M24*(1+IF($O24="",Taux_Jur,$O24))-0.005,Pas_Arrondi))</f>
        <v>0</v>
      </c>
      <c r="S24" s="22" t="n">
        <f aca="false">IF(OR($A24="",N(N24)=0),0,CEILING(N24*(1+IF($O24="",Taux_PA,$O24))-0.005,Pas_Arrondi))</f>
        <v>0</v>
      </c>
      <c r="T24" s="22" t="str">
        <f aca="false">IF($A24="","",SUM(K24:N24))</f>
        <v/>
      </c>
      <c r="U24" s="22" t="str">
        <f aca="false">IF($A24="","",SUM(P24:S24))</f>
        <v/>
      </c>
      <c r="V24" s="22" t="str">
        <f aca="false">IF($A24="","",U24-T24)</f>
        <v/>
      </c>
      <c r="W24" s="23" t="str">
        <f aca="false">IF(OR($A24="",N(T24)=0),"",V24/T24)</f>
        <v/>
      </c>
      <c r="X24" s="18"/>
      <c r="Y24" s="18"/>
    </row>
    <row r="25" customFormat="false" ht="15" hidden="false" customHeight="false" outlineLevel="0" collapsed="false">
      <c r="A25" s="18"/>
      <c r="B25" s="18"/>
      <c r="C25" s="18"/>
      <c r="D25" s="18"/>
      <c r="E25" s="18"/>
      <c r="F25" s="18"/>
      <c r="G25" s="18"/>
      <c r="H25" s="19"/>
      <c r="I25" s="18"/>
      <c r="J25" s="18"/>
      <c r="K25" s="20"/>
      <c r="L25" s="20"/>
      <c r="M25" s="20"/>
      <c r="N25" s="20"/>
      <c r="O25" s="21"/>
      <c r="P25" s="22" t="n">
        <f aca="false">IF(OR($A25="",N(K25)=0),0,CEILING(K25*(1+IF($O25="",Taux_Compta,$O25))-0.005,Pas_Arrondi))</f>
        <v>0</v>
      </c>
      <c r="Q25" s="22" t="n">
        <f aca="false">IF(OR($A25="",N(L25)=0),0,CEILING(L25*(1+IF($O25="",Taux_Paye,$O25))-0.005,Pas_Arrondi))</f>
        <v>0</v>
      </c>
      <c r="R25" s="22" t="n">
        <f aca="false">IF(OR($A25="",N(M25)=0),0,CEILING(M25*(1+IF($O25="",Taux_Jur,$O25))-0.005,Pas_Arrondi))</f>
        <v>0</v>
      </c>
      <c r="S25" s="22" t="n">
        <f aca="false">IF(OR($A25="",N(N25)=0),0,CEILING(N25*(1+IF($O25="",Taux_PA,$O25))-0.005,Pas_Arrondi))</f>
        <v>0</v>
      </c>
      <c r="T25" s="22" t="str">
        <f aca="false">IF($A25="","",SUM(K25:N25))</f>
        <v/>
      </c>
      <c r="U25" s="22" t="str">
        <f aca="false">IF($A25="","",SUM(P25:S25))</f>
        <v/>
      </c>
      <c r="V25" s="22" t="str">
        <f aca="false">IF($A25="","",U25-T25)</f>
        <v/>
      </c>
      <c r="W25" s="23" t="str">
        <f aca="false">IF(OR($A25="",N(T25)=0),"",V25/T25)</f>
        <v/>
      </c>
      <c r="X25" s="18"/>
      <c r="Y25" s="18"/>
    </row>
    <row r="26" customFormat="false" ht="15" hidden="false" customHeight="false" outlineLevel="0" collapsed="false">
      <c r="A26" s="18"/>
      <c r="B26" s="18"/>
      <c r="C26" s="18"/>
      <c r="D26" s="18"/>
      <c r="E26" s="18"/>
      <c r="F26" s="18"/>
      <c r="G26" s="18"/>
      <c r="H26" s="19"/>
      <c r="I26" s="18"/>
      <c r="J26" s="18"/>
      <c r="K26" s="20"/>
      <c r="L26" s="20"/>
      <c r="M26" s="20"/>
      <c r="N26" s="20"/>
      <c r="O26" s="21"/>
      <c r="P26" s="22" t="n">
        <f aca="false">IF(OR($A26="",N(K26)=0),0,CEILING(K26*(1+IF($O26="",Taux_Compta,$O26))-0.005,Pas_Arrondi))</f>
        <v>0</v>
      </c>
      <c r="Q26" s="22" t="n">
        <f aca="false">IF(OR($A26="",N(L26)=0),0,CEILING(L26*(1+IF($O26="",Taux_Paye,$O26))-0.005,Pas_Arrondi))</f>
        <v>0</v>
      </c>
      <c r="R26" s="22" t="n">
        <f aca="false">IF(OR($A26="",N(M26)=0),0,CEILING(M26*(1+IF($O26="",Taux_Jur,$O26))-0.005,Pas_Arrondi))</f>
        <v>0</v>
      </c>
      <c r="S26" s="22" t="n">
        <f aca="false">IF(OR($A26="",N(N26)=0),0,CEILING(N26*(1+IF($O26="",Taux_PA,$O26))-0.005,Pas_Arrondi))</f>
        <v>0</v>
      </c>
      <c r="T26" s="22" t="str">
        <f aca="false">IF($A26="","",SUM(K26:N26))</f>
        <v/>
      </c>
      <c r="U26" s="22" t="str">
        <f aca="false">IF($A26="","",SUM(P26:S26))</f>
        <v/>
      </c>
      <c r="V26" s="22" t="str">
        <f aca="false">IF($A26="","",U26-T26)</f>
        <v/>
      </c>
      <c r="W26" s="23" t="str">
        <f aca="false">IF(OR($A26="",N(T26)=0),"",V26/T26)</f>
        <v/>
      </c>
      <c r="X26" s="18"/>
      <c r="Y26" s="18"/>
    </row>
    <row r="27" customFormat="false" ht="15" hidden="false" customHeight="false" outlineLevel="0" collapsed="false">
      <c r="A27" s="18"/>
      <c r="B27" s="18"/>
      <c r="C27" s="18"/>
      <c r="D27" s="18"/>
      <c r="E27" s="18"/>
      <c r="F27" s="18"/>
      <c r="G27" s="18"/>
      <c r="H27" s="19"/>
      <c r="I27" s="18"/>
      <c r="J27" s="18"/>
      <c r="K27" s="20"/>
      <c r="L27" s="20"/>
      <c r="M27" s="20"/>
      <c r="N27" s="20"/>
      <c r="O27" s="21"/>
      <c r="P27" s="22" t="n">
        <f aca="false">IF(OR($A27="",N(K27)=0),0,CEILING(K27*(1+IF($O27="",Taux_Compta,$O27))-0.005,Pas_Arrondi))</f>
        <v>0</v>
      </c>
      <c r="Q27" s="22" t="n">
        <f aca="false">IF(OR($A27="",N(L27)=0),0,CEILING(L27*(1+IF($O27="",Taux_Paye,$O27))-0.005,Pas_Arrondi))</f>
        <v>0</v>
      </c>
      <c r="R27" s="22" t="n">
        <f aca="false">IF(OR($A27="",N(M27)=0),0,CEILING(M27*(1+IF($O27="",Taux_Jur,$O27))-0.005,Pas_Arrondi))</f>
        <v>0</v>
      </c>
      <c r="S27" s="22" t="n">
        <f aca="false">IF(OR($A27="",N(N27)=0),0,CEILING(N27*(1+IF($O27="",Taux_PA,$O27))-0.005,Pas_Arrondi))</f>
        <v>0</v>
      </c>
      <c r="T27" s="22" t="str">
        <f aca="false">IF($A27="","",SUM(K27:N27))</f>
        <v/>
      </c>
      <c r="U27" s="22" t="str">
        <f aca="false">IF($A27="","",SUM(P27:S27))</f>
        <v/>
      </c>
      <c r="V27" s="22" t="str">
        <f aca="false">IF($A27="","",U27-T27)</f>
        <v/>
      </c>
      <c r="W27" s="23" t="str">
        <f aca="false">IF(OR($A27="",N(T27)=0),"",V27/T27)</f>
        <v/>
      </c>
      <c r="X27" s="18"/>
      <c r="Y27" s="18"/>
    </row>
    <row r="28" customFormat="false" ht="15" hidden="false" customHeight="false" outlineLevel="0" collapsed="false">
      <c r="A28" s="18"/>
      <c r="B28" s="18"/>
      <c r="C28" s="18"/>
      <c r="D28" s="18"/>
      <c r="E28" s="18"/>
      <c r="F28" s="18"/>
      <c r="G28" s="18"/>
      <c r="H28" s="19"/>
      <c r="I28" s="18"/>
      <c r="J28" s="18"/>
      <c r="K28" s="20"/>
      <c r="L28" s="20"/>
      <c r="M28" s="20"/>
      <c r="N28" s="20"/>
      <c r="O28" s="21"/>
      <c r="P28" s="22" t="n">
        <f aca="false">IF(OR($A28="",N(K28)=0),0,CEILING(K28*(1+IF($O28="",Taux_Compta,$O28))-0.005,Pas_Arrondi))</f>
        <v>0</v>
      </c>
      <c r="Q28" s="22" t="n">
        <f aca="false">IF(OR($A28="",N(L28)=0),0,CEILING(L28*(1+IF($O28="",Taux_Paye,$O28))-0.005,Pas_Arrondi))</f>
        <v>0</v>
      </c>
      <c r="R28" s="22" t="n">
        <f aca="false">IF(OR($A28="",N(M28)=0),0,CEILING(M28*(1+IF($O28="",Taux_Jur,$O28))-0.005,Pas_Arrondi))</f>
        <v>0</v>
      </c>
      <c r="S28" s="22" t="n">
        <f aca="false">IF(OR($A28="",N(N28)=0),0,CEILING(N28*(1+IF($O28="",Taux_PA,$O28))-0.005,Pas_Arrondi))</f>
        <v>0</v>
      </c>
      <c r="T28" s="22" t="str">
        <f aca="false">IF($A28="","",SUM(K28:N28))</f>
        <v/>
      </c>
      <c r="U28" s="22" t="str">
        <f aca="false">IF($A28="","",SUM(P28:S28))</f>
        <v/>
      </c>
      <c r="V28" s="22" t="str">
        <f aca="false">IF($A28="","",U28-T28)</f>
        <v/>
      </c>
      <c r="W28" s="23" t="str">
        <f aca="false">IF(OR($A28="",N(T28)=0),"",V28/T28)</f>
        <v/>
      </c>
      <c r="X28" s="18"/>
      <c r="Y28" s="18"/>
    </row>
    <row r="29" customFormat="false" ht="15" hidden="false" customHeight="false" outlineLevel="0" collapsed="false">
      <c r="A29" s="18"/>
      <c r="B29" s="18"/>
      <c r="C29" s="18"/>
      <c r="D29" s="18"/>
      <c r="E29" s="18"/>
      <c r="F29" s="18"/>
      <c r="G29" s="18"/>
      <c r="H29" s="19"/>
      <c r="I29" s="18"/>
      <c r="J29" s="18"/>
      <c r="K29" s="20"/>
      <c r="L29" s="20"/>
      <c r="M29" s="20"/>
      <c r="N29" s="20"/>
      <c r="O29" s="21"/>
      <c r="P29" s="22" t="n">
        <f aca="false">IF(OR($A29="",N(K29)=0),0,CEILING(K29*(1+IF($O29="",Taux_Compta,$O29))-0.005,Pas_Arrondi))</f>
        <v>0</v>
      </c>
      <c r="Q29" s="22" t="n">
        <f aca="false">IF(OR($A29="",N(L29)=0),0,CEILING(L29*(1+IF($O29="",Taux_Paye,$O29))-0.005,Pas_Arrondi))</f>
        <v>0</v>
      </c>
      <c r="R29" s="22" t="n">
        <f aca="false">IF(OR($A29="",N(M29)=0),0,CEILING(M29*(1+IF($O29="",Taux_Jur,$O29))-0.005,Pas_Arrondi))</f>
        <v>0</v>
      </c>
      <c r="S29" s="22" t="n">
        <f aca="false">IF(OR($A29="",N(N29)=0),0,CEILING(N29*(1+IF($O29="",Taux_PA,$O29))-0.005,Pas_Arrondi))</f>
        <v>0</v>
      </c>
      <c r="T29" s="22" t="str">
        <f aca="false">IF($A29="","",SUM(K29:N29))</f>
        <v/>
      </c>
      <c r="U29" s="22" t="str">
        <f aca="false">IF($A29="","",SUM(P29:S29))</f>
        <v/>
      </c>
      <c r="V29" s="22" t="str">
        <f aca="false">IF($A29="","",U29-T29)</f>
        <v/>
      </c>
      <c r="W29" s="23" t="str">
        <f aca="false">IF(OR($A29="",N(T29)=0),"",V29/T29)</f>
        <v/>
      </c>
      <c r="X29" s="18"/>
      <c r="Y29" s="18"/>
    </row>
    <row r="30" customFormat="false" ht="15" hidden="false" customHeight="false" outlineLevel="0" collapsed="false">
      <c r="A30" s="18"/>
      <c r="B30" s="18"/>
      <c r="C30" s="18"/>
      <c r="D30" s="18"/>
      <c r="E30" s="18"/>
      <c r="F30" s="18"/>
      <c r="G30" s="18"/>
      <c r="H30" s="19"/>
      <c r="I30" s="18"/>
      <c r="J30" s="18"/>
      <c r="K30" s="20"/>
      <c r="L30" s="20"/>
      <c r="M30" s="20"/>
      <c r="N30" s="20"/>
      <c r="O30" s="21"/>
      <c r="P30" s="22" t="n">
        <f aca="false">IF(OR($A30="",N(K30)=0),0,CEILING(K30*(1+IF($O30="",Taux_Compta,$O30))-0.005,Pas_Arrondi))</f>
        <v>0</v>
      </c>
      <c r="Q30" s="22" t="n">
        <f aca="false">IF(OR($A30="",N(L30)=0),0,CEILING(L30*(1+IF($O30="",Taux_Paye,$O30))-0.005,Pas_Arrondi))</f>
        <v>0</v>
      </c>
      <c r="R30" s="22" t="n">
        <f aca="false">IF(OR($A30="",N(M30)=0),0,CEILING(M30*(1+IF($O30="",Taux_Jur,$O30))-0.005,Pas_Arrondi))</f>
        <v>0</v>
      </c>
      <c r="S30" s="22" t="n">
        <f aca="false">IF(OR($A30="",N(N30)=0),0,CEILING(N30*(1+IF($O30="",Taux_PA,$O30))-0.005,Pas_Arrondi))</f>
        <v>0</v>
      </c>
      <c r="T30" s="22" t="str">
        <f aca="false">IF($A30="","",SUM(K30:N30))</f>
        <v/>
      </c>
      <c r="U30" s="22" t="str">
        <f aca="false">IF($A30="","",SUM(P30:S30))</f>
        <v/>
      </c>
      <c r="V30" s="22" t="str">
        <f aca="false">IF($A30="","",U30-T30)</f>
        <v/>
      </c>
      <c r="W30" s="23" t="str">
        <f aca="false">IF(OR($A30="",N(T30)=0),"",V30/T30)</f>
        <v/>
      </c>
      <c r="X30" s="18"/>
      <c r="Y30" s="18"/>
    </row>
    <row r="31" customFormat="false" ht="15" hidden="false" customHeight="false" outlineLevel="0" collapsed="false">
      <c r="A31" s="18"/>
      <c r="B31" s="18"/>
      <c r="C31" s="18"/>
      <c r="D31" s="18"/>
      <c r="E31" s="18"/>
      <c r="F31" s="18"/>
      <c r="G31" s="18"/>
      <c r="H31" s="19"/>
      <c r="I31" s="18"/>
      <c r="J31" s="18"/>
      <c r="K31" s="20"/>
      <c r="L31" s="20"/>
      <c r="M31" s="20"/>
      <c r="N31" s="20"/>
      <c r="O31" s="21"/>
      <c r="P31" s="22" t="n">
        <f aca="false">IF(OR($A31="",N(K31)=0),0,CEILING(K31*(1+IF($O31="",Taux_Compta,$O31))-0.005,Pas_Arrondi))</f>
        <v>0</v>
      </c>
      <c r="Q31" s="22" t="n">
        <f aca="false">IF(OR($A31="",N(L31)=0),0,CEILING(L31*(1+IF($O31="",Taux_Paye,$O31))-0.005,Pas_Arrondi))</f>
        <v>0</v>
      </c>
      <c r="R31" s="22" t="n">
        <f aca="false">IF(OR($A31="",N(M31)=0),0,CEILING(M31*(1+IF($O31="",Taux_Jur,$O31))-0.005,Pas_Arrondi))</f>
        <v>0</v>
      </c>
      <c r="S31" s="22" t="n">
        <f aca="false">IF(OR($A31="",N(N31)=0),0,CEILING(N31*(1+IF($O31="",Taux_PA,$O31))-0.005,Pas_Arrondi))</f>
        <v>0</v>
      </c>
      <c r="T31" s="22" t="str">
        <f aca="false">IF($A31="","",SUM(K31:N31))</f>
        <v/>
      </c>
      <c r="U31" s="22" t="str">
        <f aca="false">IF($A31="","",SUM(P31:S31))</f>
        <v/>
      </c>
      <c r="V31" s="22" t="str">
        <f aca="false">IF($A31="","",U31-T31)</f>
        <v/>
      </c>
      <c r="W31" s="23" t="str">
        <f aca="false">IF(OR($A31="",N(T31)=0),"",V31/T31)</f>
        <v/>
      </c>
      <c r="X31" s="18"/>
      <c r="Y31" s="18"/>
    </row>
    <row r="32" customFormat="false" ht="15" hidden="false" customHeight="false" outlineLevel="0" collapsed="false">
      <c r="A32" s="18"/>
      <c r="B32" s="18"/>
      <c r="C32" s="18"/>
      <c r="D32" s="18"/>
      <c r="E32" s="18"/>
      <c r="F32" s="18"/>
      <c r="G32" s="18"/>
      <c r="H32" s="19"/>
      <c r="I32" s="18"/>
      <c r="J32" s="18"/>
      <c r="K32" s="20"/>
      <c r="L32" s="20"/>
      <c r="M32" s="20"/>
      <c r="N32" s="20"/>
      <c r="O32" s="21"/>
      <c r="P32" s="22" t="n">
        <f aca="false">IF(OR($A32="",N(K32)=0),0,CEILING(K32*(1+IF($O32="",Taux_Compta,$O32))-0.005,Pas_Arrondi))</f>
        <v>0</v>
      </c>
      <c r="Q32" s="22" t="n">
        <f aca="false">IF(OR($A32="",N(L32)=0),0,CEILING(L32*(1+IF($O32="",Taux_Paye,$O32))-0.005,Pas_Arrondi))</f>
        <v>0</v>
      </c>
      <c r="R32" s="22" t="n">
        <f aca="false">IF(OR($A32="",N(M32)=0),0,CEILING(M32*(1+IF($O32="",Taux_Jur,$O32))-0.005,Pas_Arrondi))</f>
        <v>0</v>
      </c>
      <c r="S32" s="22" t="n">
        <f aca="false">IF(OR($A32="",N(N32)=0),0,CEILING(N32*(1+IF($O32="",Taux_PA,$O32))-0.005,Pas_Arrondi))</f>
        <v>0</v>
      </c>
      <c r="T32" s="22" t="str">
        <f aca="false">IF($A32="","",SUM(K32:N32))</f>
        <v/>
      </c>
      <c r="U32" s="22" t="str">
        <f aca="false">IF($A32="","",SUM(P32:S32))</f>
        <v/>
      </c>
      <c r="V32" s="22" t="str">
        <f aca="false">IF($A32="","",U32-T32)</f>
        <v/>
      </c>
      <c r="W32" s="23" t="str">
        <f aca="false">IF(OR($A32="",N(T32)=0),"",V32/T32)</f>
        <v/>
      </c>
      <c r="X32" s="18"/>
      <c r="Y32" s="18"/>
    </row>
    <row r="33" customFormat="false" ht="15" hidden="false" customHeight="false" outlineLevel="0" collapsed="false">
      <c r="A33" s="18"/>
      <c r="B33" s="18"/>
      <c r="C33" s="18"/>
      <c r="D33" s="18"/>
      <c r="E33" s="18"/>
      <c r="F33" s="18"/>
      <c r="G33" s="18"/>
      <c r="H33" s="19"/>
      <c r="I33" s="18"/>
      <c r="J33" s="18"/>
      <c r="K33" s="20"/>
      <c r="L33" s="20"/>
      <c r="M33" s="20"/>
      <c r="N33" s="20"/>
      <c r="O33" s="21"/>
      <c r="P33" s="22" t="n">
        <f aca="false">IF(OR($A33="",N(K33)=0),0,CEILING(K33*(1+IF($O33="",Taux_Compta,$O33))-0.005,Pas_Arrondi))</f>
        <v>0</v>
      </c>
      <c r="Q33" s="22" t="n">
        <f aca="false">IF(OR($A33="",N(L33)=0),0,CEILING(L33*(1+IF($O33="",Taux_Paye,$O33))-0.005,Pas_Arrondi))</f>
        <v>0</v>
      </c>
      <c r="R33" s="22" t="n">
        <f aca="false">IF(OR($A33="",N(M33)=0),0,CEILING(M33*(1+IF($O33="",Taux_Jur,$O33))-0.005,Pas_Arrondi))</f>
        <v>0</v>
      </c>
      <c r="S33" s="22" t="n">
        <f aca="false">IF(OR($A33="",N(N33)=0),0,CEILING(N33*(1+IF($O33="",Taux_PA,$O33))-0.005,Pas_Arrondi))</f>
        <v>0</v>
      </c>
      <c r="T33" s="22" t="str">
        <f aca="false">IF($A33="","",SUM(K33:N33))</f>
        <v/>
      </c>
      <c r="U33" s="22" t="str">
        <f aca="false">IF($A33="","",SUM(P33:S33))</f>
        <v/>
      </c>
      <c r="V33" s="22" t="str">
        <f aca="false">IF($A33="","",U33-T33)</f>
        <v/>
      </c>
      <c r="W33" s="23" t="str">
        <f aca="false">IF(OR($A33="",N(T33)=0),"",V33/T33)</f>
        <v/>
      </c>
      <c r="X33" s="18"/>
      <c r="Y33" s="18"/>
    </row>
    <row r="34" customFormat="false" ht="15" hidden="false" customHeight="false" outlineLevel="0" collapsed="false">
      <c r="A34" s="18"/>
      <c r="B34" s="18"/>
      <c r="C34" s="18"/>
      <c r="D34" s="18"/>
      <c r="E34" s="18"/>
      <c r="F34" s="18"/>
      <c r="G34" s="18"/>
      <c r="H34" s="19"/>
      <c r="I34" s="18"/>
      <c r="J34" s="18"/>
      <c r="K34" s="20"/>
      <c r="L34" s="20"/>
      <c r="M34" s="20"/>
      <c r="N34" s="20"/>
      <c r="O34" s="21"/>
      <c r="P34" s="22" t="n">
        <f aca="false">IF(OR($A34="",N(K34)=0),0,CEILING(K34*(1+IF($O34="",Taux_Compta,$O34))-0.005,Pas_Arrondi))</f>
        <v>0</v>
      </c>
      <c r="Q34" s="22" t="n">
        <f aca="false">IF(OR($A34="",N(L34)=0),0,CEILING(L34*(1+IF($O34="",Taux_Paye,$O34))-0.005,Pas_Arrondi))</f>
        <v>0</v>
      </c>
      <c r="R34" s="22" t="n">
        <f aca="false">IF(OR($A34="",N(M34)=0),0,CEILING(M34*(1+IF($O34="",Taux_Jur,$O34))-0.005,Pas_Arrondi))</f>
        <v>0</v>
      </c>
      <c r="S34" s="22" t="n">
        <f aca="false">IF(OR($A34="",N(N34)=0),0,CEILING(N34*(1+IF($O34="",Taux_PA,$O34))-0.005,Pas_Arrondi))</f>
        <v>0</v>
      </c>
      <c r="T34" s="22" t="str">
        <f aca="false">IF($A34="","",SUM(K34:N34))</f>
        <v/>
      </c>
      <c r="U34" s="22" t="str">
        <f aca="false">IF($A34="","",SUM(P34:S34))</f>
        <v/>
      </c>
      <c r="V34" s="22" t="str">
        <f aca="false">IF($A34="","",U34-T34)</f>
        <v/>
      </c>
      <c r="W34" s="23" t="str">
        <f aca="false">IF(OR($A34="",N(T34)=0),"",V34/T34)</f>
        <v/>
      </c>
      <c r="X34" s="18"/>
      <c r="Y34" s="18"/>
    </row>
    <row r="35" customFormat="false" ht="15" hidden="false" customHeight="false" outlineLevel="0" collapsed="false">
      <c r="A35" s="18"/>
      <c r="B35" s="18"/>
      <c r="C35" s="18"/>
      <c r="D35" s="18"/>
      <c r="E35" s="18"/>
      <c r="F35" s="18"/>
      <c r="G35" s="18"/>
      <c r="H35" s="19"/>
      <c r="I35" s="18"/>
      <c r="J35" s="18"/>
      <c r="K35" s="20"/>
      <c r="L35" s="20"/>
      <c r="M35" s="20"/>
      <c r="N35" s="20"/>
      <c r="O35" s="21"/>
      <c r="P35" s="22" t="n">
        <f aca="false">IF(OR($A35="",N(K35)=0),0,CEILING(K35*(1+IF($O35="",Taux_Compta,$O35))-0.005,Pas_Arrondi))</f>
        <v>0</v>
      </c>
      <c r="Q35" s="22" t="n">
        <f aca="false">IF(OR($A35="",N(L35)=0),0,CEILING(L35*(1+IF($O35="",Taux_Paye,$O35))-0.005,Pas_Arrondi))</f>
        <v>0</v>
      </c>
      <c r="R35" s="22" t="n">
        <f aca="false">IF(OR($A35="",N(M35)=0),0,CEILING(M35*(1+IF($O35="",Taux_Jur,$O35))-0.005,Pas_Arrondi))</f>
        <v>0</v>
      </c>
      <c r="S35" s="22" t="n">
        <f aca="false">IF(OR($A35="",N(N35)=0),0,CEILING(N35*(1+IF($O35="",Taux_PA,$O35))-0.005,Pas_Arrondi))</f>
        <v>0</v>
      </c>
      <c r="T35" s="22" t="str">
        <f aca="false">IF($A35="","",SUM(K35:N35))</f>
        <v/>
      </c>
      <c r="U35" s="22" t="str">
        <f aca="false">IF($A35="","",SUM(P35:S35))</f>
        <v/>
      </c>
      <c r="V35" s="22" t="str">
        <f aca="false">IF($A35="","",U35-T35)</f>
        <v/>
      </c>
      <c r="W35" s="23" t="str">
        <f aca="false">IF(OR($A35="",N(T35)=0),"",V35/T35)</f>
        <v/>
      </c>
      <c r="X35" s="18"/>
      <c r="Y35" s="18"/>
    </row>
    <row r="36" customFormat="false" ht="15" hidden="false" customHeight="false" outlineLevel="0" collapsed="false">
      <c r="A36" s="18"/>
      <c r="B36" s="18"/>
      <c r="C36" s="18"/>
      <c r="D36" s="18"/>
      <c r="E36" s="18"/>
      <c r="F36" s="18"/>
      <c r="G36" s="18"/>
      <c r="H36" s="19"/>
      <c r="I36" s="18"/>
      <c r="J36" s="18"/>
      <c r="K36" s="20"/>
      <c r="L36" s="20"/>
      <c r="M36" s="20"/>
      <c r="N36" s="20"/>
      <c r="O36" s="21"/>
      <c r="P36" s="22" t="n">
        <f aca="false">IF(OR($A36="",N(K36)=0),0,CEILING(K36*(1+IF($O36="",Taux_Compta,$O36))-0.005,Pas_Arrondi))</f>
        <v>0</v>
      </c>
      <c r="Q36" s="22" t="n">
        <f aca="false">IF(OR($A36="",N(L36)=0),0,CEILING(L36*(1+IF($O36="",Taux_Paye,$O36))-0.005,Pas_Arrondi))</f>
        <v>0</v>
      </c>
      <c r="R36" s="22" t="n">
        <f aca="false">IF(OR($A36="",N(M36)=0),0,CEILING(M36*(1+IF($O36="",Taux_Jur,$O36))-0.005,Pas_Arrondi))</f>
        <v>0</v>
      </c>
      <c r="S36" s="22" t="n">
        <f aca="false">IF(OR($A36="",N(N36)=0),0,CEILING(N36*(1+IF($O36="",Taux_PA,$O36))-0.005,Pas_Arrondi))</f>
        <v>0</v>
      </c>
      <c r="T36" s="22" t="str">
        <f aca="false">IF($A36="","",SUM(K36:N36))</f>
        <v/>
      </c>
      <c r="U36" s="22" t="str">
        <f aca="false">IF($A36="","",SUM(P36:S36))</f>
        <v/>
      </c>
      <c r="V36" s="22" t="str">
        <f aca="false">IF($A36="","",U36-T36)</f>
        <v/>
      </c>
      <c r="W36" s="23" t="str">
        <f aca="false">IF(OR($A36="",N(T36)=0),"",V36/T36)</f>
        <v/>
      </c>
      <c r="X36" s="18"/>
      <c r="Y36" s="18"/>
    </row>
    <row r="37" customFormat="false" ht="15" hidden="false" customHeight="false" outlineLevel="0" collapsed="false">
      <c r="A37" s="18"/>
      <c r="B37" s="18"/>
      <c r="C37" s="18"/>
      <c r="D37" s="18"/>
      <c r="E37" s="18"/>
      <c r="F37" s="18"/>
      <c r="G37" s="18"/>
      <c r="H37" s="19"/>
      <c r="I37" s="18"/>
      <c r="J37" s="18"/>
      <c r="K37" s="20"/>
      <c r="L37" s="20"/>
      <c r="M37" s="20"/>
      <c r="N37" s="20"/>
      <c r="O37" s="21"/>
      <c r="P37" s="22" t="n">
        <f aca="false">IF(OR($A37="",N(K37)=0),0,CEILING(K37*(1+IF($O37="",Taux_Compta,$O37))-0.005,Pas_Arrondi))</f>
        <v>0</v>
      </c>
      <c r="Q37" s="22" t="n">
        <f aca="false">IF(OR($A37="",N(L37)=0),0,CEILING(L37*(1+IF($O37="",Taux_Paye,$O37))-0.005,Pas_Arrondi))</f>
        <v>0</v>
      </c>
      <c r="R37" s="22" t="n">
        <f aca="false">IF(OR($A37="",N(M37)=0),0,CEILING(M37*(1+IF($O37="",Taux_Jur,$O37))-0.005,Pas_Arrondi))</f>
        <v>0</v>
      </c>
      <c r="S37" s="22" t="n">
        <f aca="false">IF(OR($A37="",N(N37)=0),0,CEILING(N37*(1+IF($O37="",Taux_PA,$O37))-0.005,Pas_Arrondi))</f>
        <v>0</v>
      </c>
      <c r="T37" s="22" t="str">
        <f aca="false">IF($A37="","",SUM(K37:N37))</f>
        <v/>
      </c>
      <c r="U37" s="22" t="str">
        <f aca="false">IF($A37="","",SUM(P37:S37))</f>
        <v/>
      </c>
      <c r="V37" s="22" t="str">
        <f aca="false">IF($A37="","",U37-T37)</f>
        <v/>
      </c>
      <c r="W37" s="23" t="str">
        <f aca="false">IF(OR($A37="",N(T37)=0),"",V37/T37)</f>
        <v/>
      </c>
      <c r="X37" s="18"/>
      <c r="Y37" s="18"/>
    </row>
    <row r="38" customFormat="false" ht="15" hidden="false" customHeight="false" outlineLevel="0" collapsed="false">
      <c r="A38" s="18"/>
      <c r="B38" s="18"/>
      <c r="C38" s="18"/>
      <c r="D38" s="18"/>
      <c r="E38" s="18"/>
      <c r="F38" s="18"/>
      <c r="G38" s="18"/>
      <c r="H38" s="19"/>
      <c r="I38" s="18"/>
      <c r="J38" s="18"/>
      <c r="K38" s="20"/>
      <c r="L38" s="20"/>
      <c r="M38" s="20"/>
      <c r="N38" s="20"/>
      <c r="O38" s="21"/>
      <c r="P38" s="22" t="n">
        <f aca="false">IF(OR($A38="",N(K38)=0),0,CEILING(K38*(1+IF($O38="",Taux_Compta,$O38))-0.005,Pas_Arrondi))</f>
        <v>0</v>
      </c>
      <c r="Q38" s="22" t="n">
        <f aca="false">IF(OR($A38="",N(L38)=0),0,CEILING(L38*(1+IF($O38="",Taux_Paye,$O38))-0.005,Pas_Arrondi))</f>
        <v>0</v>
      </c>
      <c r="R38" s="22" t="n">
        <f aca="false">IF(OR($A38="",N(M38)=0),0,CEILING(M38*(1+IF($O38="",Taux_Jur,$O38))-0.005,Pas_Arrondi))</f>
        <v>0</v>
      </c>
      <c r="S38" s="22" t="n">
        <f aca="false">IF(OR($A38="",N(N38)=0),0,CEILING(N38*(1+IF($O38="",Taux_PA,$O38))-0.005,Pas_Arrondi))</f>
        <v>0</v>
      </c>
      <c r="T38" s="22" t="str">
        <f aca="false">IF($A38="","",SUM(K38:N38))</f>
        <v/>
      </c>
      <c r="U38" s="22" t="str">
        <f aca="false">IF($A38="","",SUM(P38:S38))</f>
        <v/>
      </c>
      <c r="V38" s="22" t="str">
        <f aca="false">IF($A38="","",U38-T38)</f>
        <v/>
      </c>
      <c r="W38" s="23" t="str">
        <f aca="false">IF(OR($A38="",N(T38)=0),"",V38/T38)</f>
        <v/>
      </c>
      <c r="X38" s="18"/>
      <c r="Y38" s="18"/>
    </row>
    <row r="39" customFormat="false" ht="15" hidden="false" customHeight="false" outlineLevel="0" collapsed="false">
      <c r="A39" s="18"/>
      <c r="B39" s="18"/>
      <c r="C39" s="18"/>
      <c r="D39" s="18"/>
      <c r="E39" s="18"/>
      <c r="F39" s="18"/>
      <c r="G39" s="18"/>
      <c r="H39" s="19"/>
      <c r="I39" s="18"/>
      <c r="J39" s="18"/>
      <c r="K39" s="20"/>
      <c r="L39" s="20"/>
      <c r="M39" s="20"/>
      <c r="N39" s="20"/>
      <c r="O39" s="21"/>
      <c r="P39" s="22" t="n">
        <f aca="false">IF(OR($A39="",N(K39)=0),0,CEILING(K39*(1+IF($O39="",Taux_Compta,$O39))-0.005,Pas_Arrondi))</f>
        <v>0</v>
      </c>
      <c r="Q39" s="22" t="n">
        <f aca="false">IF(OR($A39="",N(L39)=0),0,CEILING(L39*(1+IF($O39="",Taux_Paye,$O39))-0.005,Pas_Arrondi))</f>
        <v>0</v>
      </c>
      <c r="R39" s="22" t="n">
        <f aca="false">IF(OR($A39="",N(M39)=0),0,CEILING(M39*(1+IF($O39="",Taux_Jur,$O39))-0.005,Pas_Arrondi))</f>
        <v>0</v>
      </c>
      <c r="S39" s="22" t="n">
        <f aca="false">IF(OR($A39="",N(N39)=0),0,CEILING(N39*(1+IF($O39="",Taux_PA,$O39))-0.005,Pas_Arrondi))</f>
        <v>0</v>
      </c>
      <c r="T39" s="22" t="str">
        <f aca="false">IF($A39="","",SUM(K39:N39))</f>
        <v/>
      </c>
      <c r="U39" s="22" t="str">
        <f aca="false">IF($A39="","",SUM(P39:S39))</f>
        <v/>
      </c>
      <c r="V39" s="22" t="str">
        <f aca="false">IF($A39="","",U39-T39)</f>
        <v/>
      </c>
      <c r="W39" s="23" t="str">
        <f aca="false">IF(OR($A39="",N(T39)=0),"",V39/T39)</f>
        <v/>
      </c>
      <c r="X39" s="18"/>
      <c r="Y39" s="18"/>
    </row>
    <row r="40" customFormat="false" ht="15" hidden="false" customHeight="false" outlineLevel="0" collapsed="false">
      <c r="A40" s="18"/>
      <c r="B40" s="18"/>
      <c r="C40" s="18"/>
      <c r="D40" s="18"/>
      <c r="E40" s="18"/>
      <c r="F40" s="18"/>
      <c r="G40" s="18"/>
      <c r="H40" s="19"/>
      <c r="I40" s="18"/>
      <c r="J40" s="18"/>
      <c r="K40" s="20"/>
      <c r="L40" s="20"/>
      <c r="M40" s="20"/>
      <c r="N40" s="20"/>
      <c r="O40" s="21"/>
      <c r="P40" s="22" t="n">
        <f aca="false">IF(OR($A40="",N(K40)=0),0,CEILING(K40*(1+IF($O40="",Taux_Compta,$O40))-0.005,Pas_Arrondi))</f>
        <v>0</v>
      </c>
      <c r="Q40" s="22" t="n">
        <f aca="false">IF(OR($A40="",N(L40)=0),0,CEILING(L40*(1+IF($O40="",Taux_Paye,$O40))-0.005,Pas_Arrondi))</f>
        <v>0</v>
      </c>
      <c r="R40" s="22" t="n">
        <f aca="false">IF(OR($A40="",N(M40)=0),0,CEILING(M40*(1+IF($O40="",Taux_Jur,$O40))-0.005,Pas_Arrondi))</f>
        <v>0</v>
      </c>
      <c r="S40" s="22" t="n">
        <f aca="false">IF(OR($A40="",N(N40)=0),0,CEILING(N40*(1+IF($O40="",Taux_PA,$O40))-0.005,Pas_Arrondi))</f>
        <v>0</v>
      </c>
      <c r="T40" s="22" t="str">
        <f aca="false">IF($A40="","",SUM(K40:N40))</f>
        <v/>
      </c>
      <c r="U40" s="22" t="str">
        <f aca="false">IF($A40="","",SUM(P40:S40))</f>
        <v/>
      </c>
      <c r="V40" s="22" t="str">
        <f aca="false">IF($A40="","",U40-T40)</f>
        <v/>
      </c>
      <c r="W40" s="23" t="str">
        <f aca="false">IF(OR($A40="",N(T40)=0),"",V40/T40)</f>
        <v/>
      </c>
      <c r="X40" s="18"/>
      <c r="Y40" s="18"/>
    </row>
    <row r="41" customFormat="false" ht="15" hidden="false" customHeight="false" outlineLevel="0" collapsed="false">
      <c r="A41" s="18"/>
      <c r="B41" s="18"/>
      <c r="C41" s="18"/>
      <c r="D41" s="18"/>
      <c r="E41" s="18"/>
      <c r="F41" s="18"/>
      <c r="G41" s="18"/>
      <c r="H41" s="19"/>
      <c r="I41" s="18"/>
      <c r="J41" s="18"/>
      <c r="K41" s="20"/>
      <c r="L41" s="20"/>
      <c r="M41" s="20"/>
      <c r="N41" s="20"/>
      <c r="O41" s="21"/>
      <c r="P41" s="22" t="n">
        <f aca="false">IF(OR($A41="",N(K41)=0),0,CEILING(K41*(1+IF($O41="",Taux_Compta,$O41))-0.005,Pas_Arrondi))</f>
        <v>0</v>
      </c>
      <c r="Q41" s="22" t="n">
        <f aca="false">IF(OR($A41="",N(L41)=0),0,CEILING(L41*(1+IF($O41="",Taux_Paye,$O41))-0.005,Pas_Arrondi))</f>
        <v>0</v>
      </c>
      <c r="R41" s="22" t="n">
        <f aca="false">IF(OR($A41="",N(M41)=0),0,CEILING(M41*(1+IF($O41="",Taux_Jur,$O41))-0.005,Pas_Arrondi))</f>
        <v>0</v>
      </c>
      <c r="S41" s="22" t="n">
        <f aca="false">IF(OR($A41="",N(N41)=0),0,CEILING(N41*(1+IF($O41="",Taux_PA,$O41))-0.005,Pas_Arrondi))</f>
        <v>0</v>
      </c>
      <c r="T41" s="22" t="str">
        <f aca="false">IF($A41="","",SUM(K41:N41))</f>
        <v/>
      </c>
      <c r="U41" s="22" t="str">
        <f aca="false">IF($A41="","",SUM(P41:S41))</f>
        <v/>
      </c>
      <c r="V41" s="22" t="str">
        <f aca="false">IF($A41="","",U41-T41)</f>
        <v/>
      </c>
      <c r="W41" s="23" t="str">
        <f aca="false">IF(OR($A41="",N(T41)=0),"",V41/T41)</f>
        <v/>
      </c>
      <c r="X41" s="18"/>
      <c r="Y41" s="18"/>
    </row>
    <row r="42" customFormat="false" ht="15" hidden="false" customHeight="false" outlineLevel="0" collapsed="false">
      <c r="A42" s="18"/>
      <c r="B42" s="18"/>
      <c r="C42" s="18"/>
      <c r="D42" s="18"/>
      <c r="E42" s="18"/>
      <c r="F42" s="18"/>
      <c r="G42" s="18"/>
      <c r="H42" s="19"/>
      <c r="I42" s="18"/>
      <c r="J42" s="18"/>
      <c r="K42" s="20"/>
      <c r="L42" s="20"/>
      <c r="M42" s="20"/>
      <c r="N42" s="20"/>
      <c r="O42" s="21"/>
      <c r="P42" s="22" t="n">
        <f aca="false">IF(OR($A42="",N(K42)=0),0,CEILING(K42*(1+IF($O42="",Taux_Compta,$O42))-0.005,Pas_Arrondi))</f>
        <v>0</v>
      </c>
      <c r="Q42" s="22" t="n">
        <f aca="false">IF(OR($A42="",N(L42)=0),0,CEILING(L42*(1+IF($O42="",Taux_Paye,$O42))-0.005,Pas_Arrondi))</f>
        <v>0</v>
      </c>
      <c r="R42" s="22" t="n">
        <f aca="false">IF(OR($A42="",N(M42)=0),0,CEILING(M42*(1+IF($O42="",Taux_Jur,$O42))-0.005,Pas_Arrondi))</f>
        <v>0</v>
      </c>
      <c r="S42" s="22" t="n">
        <f aca="false">IF(OR($A42="",N(N42)=0),0,CEILING(N42*(1+IF($O42="",Taux_PA,$O42))-0.005,Pas_Arrondi))</f>
        <v>0</v>
      </c>
      <c r="T42" s="22" t="str">
        <f aca="false">IF($A42="","",SUM(K42:N42))</f>
        <v/>
      </c>
      <c r="U42" s="22" t="str">
        <f aca="false">IF($A42="","",SUM(P42:S42))</f>
        <v/>
      </c>
      <c r="V42" s="22" t="str">
        <f aca="false">IF($A42="","",U42-T42)</f>
        <v/>
      </c>
      <c r="W42" s="23" t="str">
        <f aca="false">IF(OR($A42="",N(T42)=0),"",V42/T42)</f>
        <v/>
      </c>
      <c r="X42" s="18"/>
      <c r="Y42" s="18"/>
    </row>
    <row r="43" customFormat="false" ht="15" hidden="false" customHeight="false" outlineLevel="0" collapsed="false">
      <c r="A43" s="18"/>
      <c r="B43" s="18"/>
      <c r="C43" s="18"/>
      <c r="D43" s="18"/>
      <c r="E43" s="18"/>
      <c r="F43" s="18"/>
      <c r="G43" s="18"/>
      <c r="H43" s="19"/>
      <c r="I43" s="18"/>
      <c r="J43" s="18"/>
      <c r="K43" s="20"/>
      <c r="L43" s="20"/>
      <c r="M43" s="20"/>
      <c r="N43" s="20"/>
      <c r="O43" s="21"/>
      <c r="P43" s="22" t="n">
        <f aca="false">IF(OR($A43="",N(K43)=0),0,CEILING(K43*(1+IF($O43="",Taux_Compta,$O43))-0.005,Pas_Arrondi))</f>
        <v>0</v>
      </c>
      <c r="Q43" s="22" t="n">
        <f aca="false">IF(OR($A43="",N(L43)=0),0,CEILING(L43*(1+IF($O43="",Taux_Paye,$O43))-0.005,Pas_Arrondi))</f>
        <v>0</v>
      </c>
      <c r="R43" s="22" t="n">
        <f aca="false">IF(OR($A43="",N(M43)=0),0,CEILING(M43*(1+IF($O43="",Taux_Jur,$O43))-0.005,Pas_Arrondi))</f>
        <v>0</v>
      </c>
      <c r="S43" s="22" t="n">
        <f aca="false">IF(OR($A43="",N(N43)=0),0,CEILING(N43*(1+IF($O43="",Taux_PA,$O43))-0.005,Pas_Arrondi))</f>
        <v>0</v>
      </c>
      <c r="T43" s="22" t="str">
        <f aca="false">IF($A43="","",SUM(K43:N43))</f>
        <v/>
      </c>
      <c r="U43" s="22" t="str">
        <f aca="false">IF($A43="","",SUM(P43:S43))</f>
        <v/>
      </c>
      <c r="V43" s="22" t="str">
        <f aca="false">IF($A43="","",U43-T43)</f>
        <v/>
      </c>
      <c r="W43" s="23" t="str">
        <f aca="false">IF(OR($A43="",N(T43)=0),"",V43/T43)</f>
        <v/>
      </c>
      <c r="X43" s="18"/>
      <c r="Y43" s="18"/>
    </row>
    <row r="44" customFormat="false" ht="15" hidden="false" customHeight="false" outlineLevel="0" collapsed="false">
      <c r="A44" s="18"/>
      <c r="B44" s="18"/>
      <c r="C44" s="18"/>
      <c r="D44" s="18"/>
      <c r="E44" s="18"/>
      <c r="F44" s="18"/>
      <c r="G44" s="18"/>
      <c r="H44" s="19"/>
      <c r="I44" s="18"/>
      <c r="J44" s="18"/>
      <c r="K44" s="20"/>
      <c r="L44" s="20"/>
      <c r="M44" s="20"/>
      <c r="N44" s="20"/>
      <c r="O44" s="21"/>
      <c r="P44" s="22" t="n">
        <f aca="false">IF(OR($A44="",N(K44)=0),0,CEILING(K44*(1+IF($O44="",Taux_Compta,$O44))-0.005,Pas_Arrondi))</f>
        <v>0</v>
      </c>
      <c r="Q44" s="22" t="n">
        <f aca="false">IF(OR($A44="",N(L44)=0),0,CEILING(L44*(1+IF($O44="",Taux_Paye,$O44))-0.005,Pas_Arrondi))</f>
        <v>0</v>
      </c>
      <c r="R44" s="22" t="n">
        <f aca="false">IF(OR($A44="",N(M44)=0),0,CEILING(M44*(1+IF($O44="",Taux_Jur,$O44))-0.005,Pas_Arrondi))</f>
        <v>0</v>
      </c>
      <c r="S44" s="22" t="n">
        <f aca="false">IF(OR($A44="",N(N44)=0),0,CEILING(N44*(1+IF($O44="",Taux_PA,$O44))-0.005,Pas_Arrondi))</f>
        <v>0</v>
      </c>
      <c r="T44" s="22" t="str">
        <f aca="false">IF($A44="","",SUM(K44:N44))</f>
        <v/>
      </c>
      <c r="U44" s="22" t="str">
        <f aca="false">IF($A44="","",SUM(P44:S44))</f>
        <v/>
      </c>
      <c r="V44" s="22" t="str">
        <f aca="false">IF($A44="","",U44-T44)</f>
        <v/>
      </c>
      <c r="W44" s="23" t="str">
        <f aca="false">IF(OR($A44="",N(T44)=0),"",V44/T44)</f>
        <v/>
      </c>
      <c r="X44" s="18"/>
      <c r="Y44" s="18"/>
    </row>
    <row r="45" customFormat="false" ht="15" hidden="false" customHeight="false" outlineLevel="0" collapsed="false">
      <c r="A45" s="18"/>
      <c r="B45" s="18"/>
      <c r="C45" s="18"/>
      <c r="D45" s="18"/>
      <c r="E45" s="18"/>
      <c r="F45" s="18"/>
      <c r="G45" s="18"/>
      <c r="H45" s="19"/>
      <c r="I45" s="18"/>
      <c r="J45" s="18"/>
      <c r="K45" s="20"/>
      <c r="L45" s="20"/>
      <c r="M45" s="20"/>
      <c r="N45" s="20"/>
      <c r="O45" s="21"/>
      <c r="P45" s="22" t="n">
        <f aca="false">IF(OR($A45="",N(K45)=0),0,CEILING(K45*(1+IF($O45="",Taux_Compta,$O45))-0.005,Pas_Arrondi))</f>
        <v>0</v>
      </c>
      <c r="Q45" s="22" t="n">
        <f aca="false">IF(OR($A45="",N(L45)=0),0,CEILING(L45*(1+IF($O45="",Taux_Paye,$O45))-0.005,Pas_Arrondi))</f>
        <v>0</v>
      </c>
      <c r="R45" s="22" t="n">
        <f aca="false">IF(OR($A45="",N(M45)=0),0,CEILING(M45*(1+IF($O45="",Taux_Jur,$O45))-0.005,Pas_Arrondi))</f>
        <v>0</v>
      </c>
      <c r="S45" s="22" t="n">
        <f aca="false">IF(OR($A45="",N(N45)=0),0,CEILING(N45*(1+IF($O45="",Taux_PA,$O45))-0.005,Pas_Arrondi))</f>
        <v>0</v>
      </c>
      <c r="T45" s="22" t="str">
        <f aca="false">IF($A45="","",SUM(K45:N45))</f>
        <v/>
      </c>
      <c r="U45" s="22" t="str">
        <f aca="false">IF($A45="","",SUM(P45:S45))</f>
        <v/>
      </c>
      <c r="V45" s="22" t="str">
        <f aca="false">IF($A45="","",U45-T45)</f>
        <v/>
      </c>
      <c r="W45" s="23" t="str">
        <f aca="false">IF(OR($A45="",N(T45)=0),"",V45/T45)</f>
        <v/>
      </c>
      <c r="X45" s="18"/>
      <c r="Y45" s="18"/>
    </row>
    <row r="46" customFormat="false" ht="15" hidden="false" customHeight="false" outlineLevel="0" collapsed="false">
      <c r="A46" s="18"/>
      <c r="B46" s="18"/>
      <c r="C46" s="18"/>
      <c r="D46" s="18"/>
      <c r="E46" s="18"/>
      <c r="F46" s="18"/>
      <c r="G46" s="18"/>
      <c r="H46" s="19"/>
      <c r="I46" s="18"/>
      <c r="J46" s="18"/>
      <c r="K46" s="20"/>
      <c r="L46" s="20"/>
      <c r="M46" s="20"/>
      <c r="N46" s="20"/>
      <c r="O46" s="21"/>
      <c r="P46" s="22" t="n">
        <f aca="false">IF(OR($A46="",N(K46)=0),0,CEILING(K46*(1+IF($O46="",Taux_Compta,$O46))-0.005,Pas_Arrondi))</f>
        <v>0</v>
      </c>
      <c r="Q46" s="22" t="n">
        <f aca="false">IF(OR($A46="",N(L46)=0),0,CEILING(L46*(1+IF($O46="",Taux_Paye,$O46))-0.005,Pas_Arrondi))</f>
        <v>0</v>
      </c>
      <c r="R46" s="22" t="n">
        <f aca="false">IF(OR($A46="",N(M46)=0),0,CEILING(M46*(1+IF($O46="",Taux_Jur,$O46))-0.005,Pas_Arrondi))</f>
        <v>0</v>
      </c>
      <c r="S46" s="22" t="n">
        <f aca="false">IF(OR($A46="",N(N46)=0),0,CEILING(N46*(1+IF($O46="",Taux_PA,$O46))-0.005,Pas_Arrondi))</f>
        <v>0</v>
      </c>
      <c r="T46" s="22" t="str">
        <f aca="false">IF($A46="","",SUM(K46:N46))</f>
        <v/>
      </c>
      <c r="U46" s="22" t="str">
        <f aca="false">IF($A46="","",SUM(P46:S46))</f>
        <v/>
      </c>
      <c r="V46" s="22" t="str">
        <f aca="false">IF($A46="","",U46-T46)</f>
        <v/>
      </c>
      <c r="W46" s="23" t="str">
        <f aca="false">IF(OR($A46="",N(T46)=0),"",V46/T46)</f>
        <v/>
      </c>
      <c r="X46" s="18"/>
      <c r="Y46" s="18"/>
    </row>
    <row r="47" customFormat="false" ht="15" hidden="false" customHeight="false" outlineLevel="0" collapsed="false">
      <c r="A47" s="18"/>
      <c r="B47" s="18"/>
      <c r="C47" s="18"/>
      <c r="D47" s="18"/>
      <c r="E47" s="18"/>
      <c r="F47" s="18"/>
      <c r="G47" s="18"/>
      <c r="H47" s="19"/>
      <c r="I47" s="18"/>
      <c r="J47" s="18"/>
      <c r="K47" s="20"/>
      <c r="L47" s="20"/>
      <c r="M47" s="20"/>
      <c r="N47" s="20"/>
      <c r="O47" s="21"/>
      <c r="P47" s="22" t="n">
        <f aca="false">IF(OR($A47="",N(K47)=0),0,CEILING(K47*(1+IF($O47="",Taux_Compta,$O47))-0.005,Pas_Arrondi))</f>
        <v>0</v>
      </c>
      <c r="Q47" s="22" t="n">
        <f aca="false">IF(OR($A47="",N(L47)=0),0,CEILING(L47*(1+IF($O47="",Taux_Paye,$O47))-0.005,Pas_Arrondi))</f>
        <v>0</v>
      </c>
      <c r="R47" s="22" t="n">
        <f aca="false">IF(OR($A47="",N(M47)=0),0,CEILING(M47*(1+IF($O47="",Taux_Jur,$O47))-0.005,Pas_Arrondi))</f>
        <v>0</v>
      </c>
      <c r="S47" s="22" t="n">
        <f aca="false">IF(OR($A47="",N(N47)=0),0,CEILING(N47*(1+IF($O47="",Taux_PA,$O47))-0.005,Pas_Arrondi))</f>
        <v>0</v>
      </c>
      <c r="T47" s="22" t="str">
        <f aca="false">IF($A47="","",SUM(K47:N47))</f>
        <v/>
      </c>
      <c r="U47" s="22" t="str">
        <f aca="false">IF($A47="","",SUM(P47:S47))</f>
        <v/>
      </c>
      <c r="V47" s="22" t="str">
        <f aca="false">IF($A47="","",U47-T47)</f>
        <v/>
      </c>
      <c r="W47" s="23" t="str">
        <f aca="false">IF(OR($A47="",N(T47)=0),"",V47/T47)</f>
        <v/>
      </c>
      <c r="X47" s="18"/>
      <c r="Y47" s="18"/>
    </row>
    <row r="48" customFormat="false" ht="15" hidden="false" customHeight="false" outlineLevel="0" collapsed="false">
      <c r="A48" s="18"/>
      <c r="B48" s="18"/>
      <c r="C48" s="18"/>
      <c r="D48" s="18"/>
      <c r="E48" s="18"/>
      <c r="F48" s="18"/>
      <c r="G48" s="18"/>
      <c r="H48" s="19"/>
      <c r="I48" s="18"/>
      <c r="J48" s="18"/>
      <c r="K48" s="20"/>
      <c r="L48" s="20"/>
      <c r="M48" s="20"/>
      <c r="N48" s="20"/>
      <c r="O48" s="21"/>
      <c r="P48" s="22" t="n">
        <f aca="false">IF(OR($A48="",N(K48)=0),0,CEILING(K48*(1+IF($O48="",Taux_Compta,$O48))-0.005,Pas_Arrondi))</f>
        <v>0</v>
      </c>
      <c r="Q48" s="22" t="n">
        <f aca="false">IF(OR($A48="",N(L48)=0),0,CEILING(L48*(1+IF($O48="",Taux_Paye,$O48))-0.005,Pas_Arrondi))</f>
        <v>0</v>
      </c>
      <c r="R48" s="22" t="n">
        <f aca="false">IF(OR($A48="",N(M48)=0),0,CEILING(M48*(1+IF($O48="",Taux_Jur,$O48))-0.005,Pas_Arrondi))</f>
        <v>0</v>
      </c>
      <c r="S48" s="22" t="n">
        <f aca="false">IF(OR($A48="",N(N48)=0),0,CEILING(N48*(1+IF($O48="",Taux_PA,$O48))-0.005,Pas_Arrondi))</f>
        <v>0</v>
      </c>
      <c r="T48" s="22" t="str">
        <f aca="false">IF($A48="","",SUM(K48:N48))</f>
        <v/>
      </c>
      <c r="U48" s="22" t="str">
        <f aca="false">IF($A48="","",SUM(P48:S48))</f>
        <v/>
      </c>
      <c r="V48" s="22" t="str">
        <f aca="false">IF($A48="","",U48-T48)</f>
        <v/>
      </c>
      <c r="W48" s="23" t="str">
        <f aca="false">IF(OR($A48="",N(T48)=0),"",V48/T48)</f>
        <v/>
      </c>
      <c r="X48" s="18"/>
      <c r="Y48" s="18"/>
    </row>
    <row r="49" customFormat="false" ht="15" hidden="false" customHeight="false" outlineLevel="0" collapsed="false">
      <c r="A49" s="18"/>
      <c r="B49" s="18"/>
      <c r="C49" s="18"/>
      <c r="D49" s="18"/>
      <c r="E49" s="18"/>
      <c r="F49" s="18"/>
      <c r="G49" s="18"/>
      <c r="H49" s="19"/>
      <c r="I49" s="18"/>
      <c r="J49" s="18"/>
      <c r="K49" s="20"/>
      <c r="L49" s="20"/>
      <c r="M49" s="20"/>
      <c r="N49" s="20"/>
      <c r="O49" s="21"/>
      <c r="P49" s="22" t="n">
        <f aca="false">IF(OR($A49="",N(K49)=0),0,CEILING(K49*(1+IF($O49="",Taux_Compta,$O49))-0.005,Pas_Arrondi))</f>
        <v>0</v>
      </c>
      <c r="Q49" s="22" t="n">
        <f aca="false">IF(OR($A49="",N(L49)=0),0,CEILING(L49*(1+IF($O49="",Taux_Paye,$O49))-0.005,Pas_Arrondi))</f>
        <v>0</v>
      </c>
      <c r="R49" s="22" t="n">
        <f aca="false">IF(OR($A49="",N(M49)=0),0,CEILING(M49*(1+IF($O49="",Taux_Jur,$O49))-0.005,Pas_Arrondi))</f>
        <v>0</v>
      </c>
      <c r="S49" s="22" t="n">
        <f aca="false">IF(OR($A49="",N(N49)=0),0,CEILING(N49*(1+IF($O49="",Taux_PA,$O49))-0.005,Pas_Arrondi))</f>
        <v>0</v>
      </c>
      <c r="T49" s="22" t="str">
        <f aca="false">IF($A49="","",SUM(K49:N49))</f>
        <v/>
      </c>
      <c r="U49" s="22" t="str">
        <f aca="false">IF($A49="","",SUM(P49:S49))</f>
        <v/>
      </c>
      <c r="V49" s="22" t="str">
        <f aca="false">IF($A49="","",U49-T49)</f>
        <v/>
      </c>
      <c r="W49" s="23" t="str">
        <f aca="false">IF(OR($A49="",N(T49)=0),"",V49/T49)</f>
        <v/>
      </c>
      <c r="X49" s="18"/>
      <c r="Y49" s="18"/>
    </row>
    <row r="50" customFormat="false" ht="15" hidden="false" customHeight="false" outlineLevel="0" collapsed="false">
      <c r="A50" s="18"/>
      <c r="B50" s="18"/>
      <c r="C50" s="18"/>
      <c r="D50" s="18"/>
      <c r="E50" s="18"/>
      <c r="F50" s="18"/>
      <c r="G50" s="18"/>
      <c r="H50" s="19"/>
      <c r="I50" s="18"/>
      <c r="J50" s="18"/>
      <c r="K50" s="20"/>
      <c r="L50" s="20"/>
      <c r="M50" s="20"/>
      <c r="N50" s="20"/>
      <c r="O50" s="21"/>
      <c r="P50" s="22" t="n">
        <f aca="false">IF(OR($A50="",N(K50)=0),0,CEILING(K50*(1+IF($O50="",Taux_Compta,$O50))-0.005,Pas_Arrondi))</f>
        <v>0</v>
      </c>
      <c r="Q50" s="22" t="n">
        <f aca="false">IF(OR($A50="",N(L50)=0),0,CEILING(L50*(1+IF($O50="",Taux_Paye,$O50))-0.005,Pas_Arrondi))</f>
        <v>0</v>
      </c>
      <c r="R50" s="22" t="n">
        <f aca="false">IF(OR($A50="",N(M50)=0),0,CEILING(M50*(1+IF($O50="",Taux_Jur,$O50))-0.005,Pas_Arrondi))</f>
        <v>0</v>
      </c>
      <c r="S50" s="22" t="n">
        <f aca="false">IF(OR($A50="",N(N50)=0),0,CEILING(N50*(1+IF($O50="",Taux_PA,$O50))-0.005,Pas_Arrondi))</f>
        <v>0</v>
      </c>
      <c r="T50" s="22" t="str">
        <f aca="false">IF($A50="","",SUM(K50:N50))</f>
        <v/>
      </c>
      <c r="U50" s="22" t="str">
        <f aca="false">IF($A50="","",SUM(P50:S50))</f>
        <v/>
      </c>
      <c r="V50" s="22" t="str">
        <f aca="false">IF($A50="","",U50-T50)</f>
        <v/>
      </c>
      <c r="W50" s="23" t="str">
        <f aca="false">IF(OR($A50="",N(T50)=0),"",V50/T50)</f>
        <v/>
      </c>
      <c r="X50" s="18"/>
      <c r="Y50" s="18"/>
    </row>
    <row r="51" customFormat="false" ht="15" hidden="false" customHeight="false" outlineLevel="0" collapsed="false">
      <c r="A51" s="18"/>
      <c r="B51" s="18"/>
      <c r="C51" s="18"/>
      <c r="D51" s="18"/>
      <c r="E51" s="18"/>
      <c r="F51" s="18"/>
      <c r="G51" s="18"/>
      <c r="H51" s="19"/>
      <c r="I51" s="18"/>
      <c r="J51" s="18"/>
      <c r="K51" s="20"/>
      <c r="L51" s="20"/>
      <c r="M51" s="20"/>
      <c r="N51" s="20"/>
      <c r="O51" s="21"/>
      <c r="P51" s="22" t="n">
        <f aca="false">IF(OR($A51="",N(K51)=0),0,CEILING(K51*(1+IF($O51="",Taux_Compta,$O51))-0.005,Pas_Arrondi))</f>
        <v>0</v>
      </c>
      <c r="Q51" s="22" t="n">
        <f aca="false">IF(OR($A51="",N(L51)=0),0,CEILING(L51*(1+IF($O51="",Taux_Paye,$O51))-0.005,Pas_Arrondi))</f>
        <v>0</v>
      </c>
      <c r="R51" s="22" t="n">
        <f aca="false">IF(OR($A51="",N(M51)=0),0,CEILING(M51*(1+IF($O51="",Taux_Jur,$O51))-0.005,Pas_Arrondi))</f>
        <v>0</v>
      </c>
      <c r="S51" s="22" t="n">
        <f aca="false">IF(OR($A51="",N(N51)=0),0,CEILING(N51*(1+IF($O51="",Taux_PA,$O51))-0.005,Pas_Arrondi))</f>
        <v>0</v>
      </c>
      <c r="T51" s="22" t="str">
        <f aca="false">IF($A51="","",SUM(K51:N51))</f>
        <v/>
      </c>
      <c r="U51" s="22" t="str">
        <f aca="false">IF($A51="","",SUM(P51:S51))</f>
        <v/>
      </c>
      <c r="V51" s="22" t="str">
        <f aca="false">IF($A51="","",U51-T51)</f>
        <v/>
      </c>
      <c r="W51" s="23" t="str">
        <f aca="false">IF(OR($A51="",N(T51)=0),"",V51/T51)</f>
        <v/>
      </c>
      <c r="X51" s="18"/>
      <c r="Y51" s="18"/>
    </row>
    <row r="52" customFormat="false" ht="15" hidden="false" customHeight="false" outlineLevel="0" collapsed="false">
      <c r="A52" s="18"/>
      <c r="B52" s="18"/>
      <c r="C52" s="18"/>
      <c r="D52" s="18"/>
      <c r="E52" s="18"/>
      <c r="F52" s="18"/>
      <c r="G52" s="18"/>
      <c r="H52" s="19"/>
      <c r="I52" s="18"/>
      <c r="J52" s="18"/>
      <c r="K52" s="20"/>
      <c r="L52" s="20"/>
      <c r="M52" s="20"/>
      <c r="N52" s="20"/>
      <c r="O52" s="21"/>
      <c r="P52" s="22" t="n">
        <f aca="false">IF(OR($A52="",N(K52)=0),0,CEILING(K52*(1+IF($O52="",Taux_Compta,$O52))-0.005,Pas_Arrondi))</f>
        <v>0</v>
      </c>
      <c r="Q52" s="22" t="n">
        <f aca="false">IF(OR($A52="",N(L52)=0),0,CEILING(L52*(1+IF($O52="",Taux_Paye,$O52))-0.005,Pas_Arrondi))</f>
        <v>0</v>
      </c>
      <c r="R52" s="22" t="n">
        <f aca="false">IF(OR($A52="",N(M52)=0),0,CEILING(M52*(1+IF($O52="",Taux_Jur,$O52))-0.005,Pas_Arrondi))</f>
        <v>0</v>
      </c>
      <c r="S52" s="22" t="n">
        <f aca="false">IF(OR($A52="",N(N52)=0),0,CEILING(N52*(1+IF($O52="",Taux_PA,$O52))-0.005,Pas_Arrondi))</f>
        <v>0</v>
      </c>
      <c r="T52" s="22" t="str">
        <f aca="false">IF($A52="","",SUM(K52:N52))</f>
        <v/>
      </c>
      <c r="U52" s="22" t="str">
        <f aca="false">IF($A52="","",SUM(P52:S52))</f>
        <v/>
      </c>
      <c r="V52" s="22" t="str">
        <f aca="false">IF($A52="","",U52-T52)</f>
        <v/>
      </c>
      <c r="W52" s="23" t="str">
        <f aca="false">IF(OR($A52="",N(T52)=0),"",V52/T52)</f>
        <v/>
      </c>
      <c r="X52" s="18"/>
      <c r="Y52" s="18"/>
    </row>
    <row r="53" customFormat="false" ht="15" hidden="false" customHeight="false" outlineLevel="0" collapsed="false">
      <c r="A53" s="18"/>
      <c r="B53" s="18"/>
      <c r="C53" s="18"/>
      <c r="D53" s="18"/>
      <c r="E53" s="18"/>
      <c r="F53" s="18"/>
      <c r="G53" s="18"/>
      <c r="H53" s="19"/>
      <c r="I53" s="18"/>
      <c r="J53" s="18"/>
      <c r="K53" s="20"/>
      <c r="L53" s="20"/>
      <c r="M53" s="20"/>
      <c r="N53" s="20"/>
      <c r="O53" s="21"/>
      <c r="P53" s="22" t="n">
        <f aca="false">IF(OR($A53="",N(K53)=0),0,CEILING(K53*(1+IF($O53="",Taux_Compta,$O53))-0.005,Pas_Arrondi))</f>
        <v>0</v>
      </c>
      <c r="Q53" s="22" t="n">
        <f aca="false">IF(OR($A53="",N(L53)=0),0,CEILING(L53*(1+IF($O53="",Taux_Paye,$O53))-0.005,Pas_Arrondi))</f>
        <v>0</v>
      </c>
      <c r="R53" s="22" t="n">
        <f aca="false">IF(OR($A53="",N(M53)=0),0,CEILING(M53*(1+IF($O53="",Taux_Jur,$O53))-0.005,Pas_Arrondi))</f>
        <v>0</v>
      </c>
      <c r="S53" s="22" t="n">
        <f aca="false">IF(OR($A53="",N(N53)=0),0,CEILING(N53*(1+IF($O53="",Taux_PA,$O53))-0.005,Pas_Arrondi))</f>
        <v>0</v>
      </c>
      <c r="T53" s="22" t="str">
        <f aca="false">IF($A53="","",SUM(K53:N53))</f>
        <v/>
      </c>
      <c r="U53" s="22" t="str">
        <f aca="false">IF($A53="","",SUM(P53:S53))</f>
        <v/>
      </c>
      <c r="V53" s="22" t="str">
        <f aca="false">IF($A53="","",U53-T53)</f>
        <v/>
      </c>
      <c r="W53" s="23" t="str">
        <f aca="false">IF(OR($A53="",N(T53)=0),"",V53/T53)</f>
        <v/>
      </c>
      <c r="X53" s="18"/>
      <c r="Y53" s="18"/>
    </row>
    <row r="54" customFormat="false" ht="15" hidden="false" customHeight="false" outlineLevel="0" collapsed="false">
      <c r="A54" s="18"/>
      <c r="B54" s="18"/>
      <c r="C54" s="18"/>
      <c r="D54" s="18"/>
      <c r="E54" s="18"/>
      <c r="F54" s="18"/>
      <c r="G54" s="18"/>
      <c r="H54" s="19"/>
      <c r="I54" s="18"/>
      <c r="J54" s="18"/>
      <c r="K54" s="20"/>
      <c r="L54" s="20"/>
      <c r="M54" s="20"/>
      <c r="N54" s="20"/>
      <c r="O54" s="21"/>
      <c r="P54" s="22" t="n">
        <f aca="false">IF(OR($A54="",N(K54)=0),0,CEILING(K54*(1+IF($O54="",Taux_Compta,$O54))-0.005,Pas_Arrondi))</f>
        <v>0</v>
      </c>
      <c r="Q54" s="22" t="n">
        <f aca="false">IF(OR($A54="",N(L54)=0),0,CEILING(L54*(1+IF($O54="",Taux_Paye,$O54))-0.005,Pas_Arrondi))</f>
        <v>0</v>
      </c>
      <c r="R54" s="22" t="n">
        <f aca="false">IF(OR($A54="",N(M54)=0),0,CEILING(M54*(1+IF($O54="",Taux_Jur,$O54))-0.005,Pas_Arrondi))</f>
        <v>0</v>
      </c>
      <c r="S54" s="22" t="n">
        <f aca="false">IF(OR($A54="",N(N54)=0),0,CEILING(N54*(1+IF($O54="",Taux_PA,$O54))-0.005,Pas_Arrondi))</f>
        <v>0</v>
      </c>
      <c r="T54" s="22" t="str">
        <f aca="false">IF($A54="","",SUM(K54:N54))</f>
        <v/>
      </c>
      <c r="U54" s="22" t="str">
        <f aca="false">IF($A54="","",SUM(P54:S54))</f>
        <v/>
      </c>
      <c r="V54" s="22" t="str">
        <f aca="false">IF($A54="","",U54-T54)</f>
        <v/>
      </c>
      <c r="W54" s="23" t="str">
        <f aca="false">IF(OR($A54="",N(T54)=0),"",V54/T54)</f>
        <v/>
      </c>
      <c r="X54" s="18"/>
      <c r="Y54" s="18"/>
    </row>
    <row r="55" customFormat="false" ht="15" hidden="false" customHeight="false" outlineLevel="0" collapsed="false">
      <c r="A55" s="18"/>
      <c r="B55" s="18"/>
      <c r="C55" s="18"/>
      <c r="D55" s="18"/>
      <c r="E55" s="18"/>
      <c r="F55" s="18"/>
      <c r="G55" s="18"/>
      <c r="H55" s="19"/>
      <c r="I55" s="18"/>
      <c r="J55" s="18"/>
      <c r="K55" s="20"/>
      <c r="L55" s="20"/>
      <c r="M55" s="20"/>
      <c r="N55" s="20"/>
      <c r="O55" s="21"/>
      <c r="P55" s="22" t="n">
        <f aca="false">IF(OR($A55="",N(K55)=0),0,CEILING(K55*(1+IF($O55="",Taux_Compta,$O55))-0.005,Pas_Arrondi))</f>
        <v>0</v>
      </c>
      <c r="Q55" s="22" t="n">
        <f aca="false">IF(OR($A55="",N(L55)=0),0,CEILING(L55*(1+IF($O55="",Taux_Paye,$O55))-0.005,Pas_Arrondi))</f>
        <v>0</v>
      </c>
      <c r="R55" s="22" t="n">
        <f aca="false">IF(OR($A55="",N(M55)=0),0,CEILING(M55*(1+IF($O55="",Taux_Jur,$O55))-0.005,Pas_Arrondi))</f>
        <v>0</v>
      </c>
      <c r="S55" s="22" t="n">
        <f aca="false">IF(OR($A55="",N(N55)=0),0,CEILING(N55*(1+IF($O55="",Taux_PA,$O55))-0.005,Pas_Arrondi))</f>
        <v>0</v>
      </c>
      <c r="T55" s="22" t="str">
        <f aca="false">IF($A55="","",SUM(K55:N55))</f>
        <v/>
      </c>
      <c r="U55" s="22" t="str">
        <f aca="false">IF($A55="","",SUM(P55:S55))</f>
        <v/>
      </c>
      <c r="V55" s="22" t="str">
        <f aca="false">IF($A55="","",U55-T55)</f>
        <v/>
      </c>
      <c r="W55" s="23" t="str">
        <f aca="false">IF(OR($A55="",N(T55)=0),"",V55/T55)</f>
        <v/>
      </c>
      <c r="X55" s="18"/>
      <c r="Y55" s="18"/>
    </row>
    <row r="56" customFormat="false" ht="15" hidden="false" customHeight="false" outlineLevel="0" collapsed="false">
      <c r="A56" s="18"/>
      <c r="B56" s="18"/>
      <c r="C56" s="18"/>
      <c r="D56" s="18"/>
      <c r="E56" s="18"/>
      <c r="F56" s="18"/>
      <c r="G56" s="18"/>
      <c r="H56" s="19"/>
      <c r="I56" s="18"/>
      <c r="J56" s="18"/>
      <c r="K56" s="20"/>
      <c r="L56" s="20"/>
      <c r="M56" s="20"/>
      <c r="N56" s="20"/>
      <c r="O56" s="21"/>
      <c r="P56" s="22" t="n">
        <f aca="false">IF(OR($A56="",N(K56)=0),0,CEILING(K56*(1+IF($O56="",Taux_Compta,$O56))-0.005,Pas_Arrondi))</f>
        <v>0</v>
      </c>
      <c r="Q56" s="22" t="n">
        <f aca="false">IF(OR($A56="",N(L56)=0),0,CEILING(L56*(1+IF($O56="",Taux_Paye,$O56))-0.005,Pas_Arrondi))</f>
        <v>0</v>
      </c>
      <c r="R56" s="22" t="n">
        <f aca="false">IF(OR($A56="",N(M56)=0),0,CEILING(M56*(1+IF($O56="",Taux_Jur,$O56))-0.005,Pas_Arrondi))</f>
        <v>0</v>
      </c>
      <c r="S56" s="22" t="n">
        <f aca="false">IF(OR($A56="",N(N56)=0),0,CEILING(N56*(1+IF($O56="",Taux_PA,$O56))-0.005,Pas_Arrondi))</f>
        <v>0</v>
      </c>
      <c r="T56" s="22" t="str">
        <f aca="false">IF($A56="","",SUM(K56:N56))</f>
        <v/>
      </c>
      <c r="U56" s="22" t="str">
        <f aca="false">IF($A56="","",SUM(P56:S56))</f>
        <v/>
      </c>
      <c r="V56" s="22" t="str">
        <f aca="false">IF($A56="","",U56-T56)</f>
        <v/>
      </c>
      <c r="W56" s="23" t="str">
        <f aca="false">IF(OR($A56="",N(T56)=0),"",V56/T56)</f>
        <v/>
      </c>
      <c r="X56" s="18"/>
      <c r="Y56" s="18"/>
    </row>
    <row r="57" customFormat="false" ht="15" hidden="false" customHeight="false" outlineLevel="0" collapsed="false">
      <c r="A57" s="18"/>
      <c r="B57" s="18"/>
      <c r="C57" s="18"/>
      <c r="D57" s="18"/>
      <c r="E57" s="18"/>
      <c r="F57" s="18"/>
      <c r="G57" s="18"/>
      <c r="H57" s="19"/>
      <c r="I57" s="18"/>
      <c r="J57" s="18"/>
      <c r="K57" s="20"/>
      <c r="L57" s="20"/>
      <c r="M57" s="20"/>
      <c r="N57" s="20"/>
      <c r="O57" s="21"/>
      <c r="P57" s="22" t="n">
        <f aca="false">IF(OR($A57="",N(K57)=0),0,CEILING(K57*(1+IF($O57="",Taux_Compta,$O57))-0.005,Pas_Arrondi))</f>
        <v>0</v>
      </c>
      <c r="Q57" s="22" t="n">
        <f aca="false">IF(OR($A57="",N(L57)=0),0,CEILING(L57*(1+IF($O57="",Taux_Paye,$O57))-0.005,Pas_Arrondi))</f>
        <v>0</v>
      </c>
      <c r="R57" s="22" t="n">
        <f aca="false">IF(OR($A57="",N(M57)=0),0,CEILING(M57*(1+IF($O57="",Taux_Jur,$O57))-0.005,Pas_Arrondi))</f>
        <v>0</v>
      </c>
      <c r="S57" s="22" t="n">
        <f aca="false">IF(OR($A57="",N(N57)=0),0,CEILING(N57*(1+IF($O57="",Taux_PA,$O57))-0.005,Pas_Arrondi))</f>
        <v>0</v>
      </c>
      <c r="T57" s="22" t="str">
        <f aca="false">IF($A57="","",SUM(K57:N57))</f>
        <v/>
      </c>
      <c r="U57" s="22" t="str">
        <f aca="false">IF($A57="","",SUM(P57:S57))</f>
        <v/>
      </c>
      <c r="V57" s="22" t="str">
        <f aca="false">IF($A57="","",U57-T57)</f>
        <v/>
      </c>
      <c r="W57" s="23" t="str">
        <f aca="false">IF(OR($A57="",N(T57)=0),"",V57/T57)</f>
        <v/>
      </c>
      <c r="X57" s="18"/>
      <c r="Y57" s="18"/>
    </row>
    <row r="58" customFormat="false" ht="15" hidden="false" customHeight="false" outlineLevel="0" collapsed="false">
      <c r="A58" s="18"/>
      <c r="B58" s="18"/>
      <c r="C58" s="18"/>
      <c r="D58" s="18"/>
      <c r="E58" s="18"/>
      <c r="F58" s="18"/>
      <c r="G58" s="18"/>
      <c r="H58" s="19"/>
      <c r="I58" s="18"/>
      <c r="J58" s="18"/>
      <c r="K58" s="20"/>
      <c r="L58" s="20"/>
      <c r="M58" s="20"/>
      <c r="N58" s="20"/>
      <c r="O58" s="21"/>
      <c r="P58" s="22" t="n">
        <f aca="false">IF(OR($A58="",N(K58)=0),0,CEILING(K58*(1+IF($O58="",Taux_Compta,$O58))-0.005,Pas_Arrondi))</f>
        <v>0</v>
      </c>
      <c r="Q58" s="22" t="n">
        <f aca="false">IF(OR($A58="",N(L58)=0),0,CEILING(L58*(1+IF($O58="",Taux_Paye,$O58))-0.005,Pas_Arrondi))</f>
        <v>0</v>
      </c>
      <c r="R58" s="22" t="n">
        <f aca="false">IF(OR($A58="",N(M58)=0),0,CEILING(M58*(1+IF($O58="",Taux_Jur,$O58))-0.005,Pas_Arrondi))</f>
        <v>0</v>
      </c>
      <c r="S58" s="22" t="n">
        <f aca="false">IF(OR($A58="",N(N58)=0),0,CEILING(N58*(1+IF($O58="",Taux_PA,$O58))-0.005,Pas_Arrondi))</f>
        <v>0</v>
      </c>
      <c r="T58" s="22" t="str">
        <f aca="false">IF($A58="","",SUM(K58:N58))</f>
        <v/>
      </c>
      <c r="U58" s="22" t="str">
        <f aca="false">IF($A58="","",SUM(P58:S58))</f>
        <v/>
      </c>
      <c r="V58" s="22" t="str">
        <f aca="false">IF($A58="","",U58-T58)</f>
        <v/>
      </c>
      <c r="W58" s="23" t="str">
        <f aca="false">IF(OR($A58="",N(T58)=0),"",V58/T58)</f>
        <v/>
      </c>
      <c r="X58" s="18"/>
      <c r="Y58" s="18"/>
    </row>
    <row r="59" customFormat="false" ht="15" hidden="false" customHeight="false" outlineLevel="0" collapsed="false">
      <c r="A59" s="18"/>
      <c r="B59" s="18"/>
      <c r="C59" s="18"/>
      <c r="D59" s="18"/>
      <c r="E59" s="18"/>
      <c r="F59" s="18"/>
      <c r="G59" s="18"/>
      <c r="H59" s="19"/>
      <c r="I59" s="18"/>
      <c r="J59" s="18"/>
      <c r="K59" s="20"/>
      <c r="L59" s="20"/>
      <c r="M59" s="20"/>
      <c r="N59" s="20"/>
      <c r="O59" s="21"/>
      <c r="P59" s="22" t="n">
        <f aca="false">IF(OR($A59="",N(K59)=0),0,CEILING(K59*(1+IF($O59="",Taux_Compta,$O59))-0.005,Pas_Arrondi))</f>
        <v>0</v>
      </c>
      <c r="Q59" s="22" t="n">
        <f aca="false">IF(OR($A59="",N(L59)=0),0,CEILING(L59*(1+IF($O59="",Taux_Paye,$O59))-0.005,Pas_Arrondi))</f>
        <v>0</v>
      </c>
      <c r="R59" s="22" t="n">
        <f aca="false">IF(OR($A59="",N(M59)=0),0,CEILING(M59*(1+IF($O59="",Taux_Jur,$O59))-0.005,Pas_Arrondi))</f>
        <v>0</v>
      </c>
      <c r="S59" s="22" t="n">
        <f aca="false">IF(OR($A59="",N(N59)=0),0,CEILING(N59*(1+IF($O59="",Taux_PA,$O59))-0.005,Pas_Arrondi))</f>
        <v>0</v>
      </c>
      <c r="T59" s="22" t="str">
        <f aca="false">IF($A59="","",SUM(K59:N59))</f>
        <v/>
      </c>
      <c r="U59" s="22" t="str">
        <f aca="false">IF($A59="","",SUM(P59:S59))</f>
        <v/>
      </c>
      <c r="V59" s="22" t="str">
        <f aca="false">IF($A59="","",U59-T59)</f>
        <v/>
      </c>
      <c r="W59" s="23" t="str">
        <f aca="false">IF(OR($A59="",N(T59)=0),"",V59/T59)</f>
        <v/>
      </c>
      <c r="X59" s="18"/>
      <c r="Y59" s="18"/>
    </row>
    <row r="60" customFormat="false" ht="15" hidden="false" customHeight="false" outlineLevel="0" collapsed="false">
      <c r="A60" s="18"/>
      <c r="B60" s="18"/>
      <c r="C60" s="18"/>
      <c r="D60" s="18"/>
      <c r="E60" s="18"/>
      <c r="F60" s="18"/>
      <c r="G60" s="18"/>
      <c r="H60" s="19"/>
      <c r="I60" s="18"/>
      <c r="J60" s="18"/>
      <c r="K60" s="20"/>
      <c r="L60" s="20"/>
      <c r="M60" s="20"/>
      <c r="N60" s="20"/>
      <c r="O60" s="21"/>
      <c r="P60" s="22" t="n">
        <f aca="false">IF(OR($A60="",N(K60)=0),0,CEILING(K60*(1+IF($O60="",Taux_Compta,$O60))-0.005,Pas_Arrondi))</f>
        <v>0</v>
      </c>
      <c r="Q60" s="22" t="n">
        <f aca="false">IF(OR($A60="",N(L60)=0),0,CEILING(L60*(1+IF($O60="",Taux_Paye,$O60))-0.005,Pas_Arrondi))</f>
        <v>0</v>
      </c>
      <c r="R60" s="22" t="n">
        <f aca="false">IF(OR($A60="",N(M60)=0),0,CEILING(M60*(1+IF($O60="",Taux_Jur,$O60))-0.005,Pas_Arrondi))</f>
        <v>0</v>
      </c>
      <c r="S60" s="22" t="n">
        <f aca="false">IF(OR($A60="",N(N60)=0),0,CEILING(N60*(1+IF($O60="",Taux_PA,$O60))-0.005,Pas_Arrondi))</f>
        <v>0</v>
      </c>
      <c r="T60" s="22" t="str">
        <f aca="false">IF($A60="","",SUM(K60:N60))</f>
        <v/>
      </c>
      <c r="U60" s="22" t="str">
        <f aca="false">IF($A60="","",SUM(P60:S60))</f>
        <v/>
      </c>
      <c r="V60" s="22" t="str">
        <f aca="false">IF($A60="","",U60-T60)</f>
        <v/>
      </c>
      <c r="W60" s="23" t="str">
        <f aca="false">IF(OR($A60="",N(T60)=0),"",V60/T60)</f>
        <v/>
      </c>
      <c r="X60" s="18"/>
      <c r="Y60" s="18"/>
    </row>
    <row r="61" customFormat="false" ht="15" hidden="false" customHeight="false" outlineLevel="0" collapsed="false">
      <c r="A61" s="18"/>
      <c r="B61" s="18"/>
      <c r="C61" s="18"/>
      <c r="D61" s="18"/>
      <c r="E61" s="18"/>
      <c r="F61" s="18"/>
      <c r="G61" s="18"/>
      <c r="H61" s="19"/>
      <c r="I61" s="18"/>
      <c r="J61" s="18"/>
      <c r="K61" s="20"/>
      <c r="L61" s="20"/>
      <c r="M61" s="20"/>
      <c r="N61" s="20"/>
      <c r="O61" s="21"/>
      <c r="P61" s="22" t="n">
        <f aca="false">IF(OR($A61="",N(K61)=0),0,CEILING(K61*(1+IF($O61="",Taux_Compta,$O61))-0.005,Pas_Arrondi))</f>
        <v>0</v>
      </c>
      <c r="Q61" s="22" t="n">
        <f aca="false">IF(OR($A61="",N(L61)=0),0,CEILING(L61*(1+IF($O61="",Taux_Paye,$O61))-0.005,Pas_Arrondi))</f>
        <v>0</v>
      </c>
      <c r="R61" s="22" t="n">
        <f aca="false">IF(OR($A61="",N(M61)=0),0,CEILING(M61*(1+IF($O61="",Taux_Jur,$O61))-0.005,Pas_Arrondi))</f>
        <v>0</v>
      </c>
      <c r="S61" s="22" t="n">
        <f aca="false">IF(OR($A61="",N(N61)=0),0,CEILING(N61*(1+IF($O61="",Taux_PA,$O61))-0.005,Pas_Arrondi))</f>
        <v>0</v>
      </c>
      <c r="T61" s="22" t="str">
        <f aca="false">IF($A61="","",SUM(K61:N61))</f>
        <v/>
      </c>
      <c r="U61" s="22" t="str">
        <f aca="false">IF($A61="","",SUM(P61:S61))</f>
        <v/>
      </c>
      <c r="V61" s="22" t="str">
        <f aca="false">IF($A61="","",U61-T61)</f>
        <v/>
      </c>
      <c r="W61" s="23" t="str">
        <f aca="false">IF(OR($A61="",N(T61)=0),"",V61/T61)</f>
        <v/>
      </c>
      <c r="X61" s="18"/>
      <c r="Y61" s="18"/>
    </row>
    <row r="62" customFormat="false" ht="15" hidden="false" customHeight="false" outlineLevel="0" collapsed="false">
      <c r="A62" s="18"/>
      <c r="B62" s="18"/>
      <c r="C62" s="18"/>
      <c r="D62" s="18"/>
      <c r="E62" s="18"/>
      <c r="F62" s="18"/>
      <c r="G62" s="18"/>
      <c r="H62" s="19"/>
      <c r="I62" s="18"/>
      <c r="J62" s="18"/>
      <c r="K62" s="20"/>
      <c r="L62" s="20"/>
      <c r="M62" s="20"/>
      <c r="N62" s="20"/>
      <c r="O62" s="21"/>
      <c r="P62" s="22" t="n">
        <f aca="false">IF(OR($A62="",N(K62)=0),0,CEILING(K62*(1+IF($O62="",Taux_Compta,$O62))-0.005,Pas_Arrondi))</f>
        <v>0</v>
      </c>
      <c r="Q62" s="22" t="n">
        <f aca="false">IF(OR($A62="",N(L62)=0),0,CEILING(L62*(1+IF($O62="",Taux_Paye,$O62))-0.005,Pas_Arrondi))</f>
        <v>0</v>
      </c>
      <c r="R62" s="22" t="n">
        <f aca="false">IF(OR($A62="",N(M62)=0),0,CEILING(M62*(1+IF($O62="",Taux_Jur,$O62))-0.005,Pas_Arrondi))</f>
        <v>0</v>
      </c>
      <c r="S62" s="22" t="n">
        <f aca="false">IF(OR($A62="",N(N62)=0),0,CEILING(N62*(1+IF($O62="",Taux_PA,$O62))-0.005,Pas_Arrondi))</f>
        <v>0</v>
      </c>
      <c r="T62" s="22" t="str">
        <f aca="false">IF($A62="","",SUM(K62:N62))</f>
        <v/>
      </c>
      <c r="U62" s="22" t="str">
        <f aca="false">IF($A62="","",SUM(P62:S62))</f>
        <v/>
      </c>
      <c r="V62" s="22" t="str">
        <f aca="false">IF($A62="","",U62-T62)</f>
        <v/>
      </c>
      <c r="W62" s="23" t="str">
        <f aca="false">IF(OR($A62="",N(T62)=0),"",V62/T62)</f>
        <v/>
      </c>
      <c r="X62" s="18"/>
      <c r="Y62" s="18"/>
    </row>
    <row r="63" customFormat="false" ht="15" hidden="false" customHeight="false" outlineLevel="0" collapsed="false">
      <c r="A63" s="18"/>
      <c r="B63" s="18"/>
      <c r="C63" s="18"/>
      <c r="D63" s="18"/>
      <c r="E63" s="18"/>
      <c r="F63" s="18"/>
      <c r="G63" s="18"/>
      <c r="H63" s="19"/>
      <c r="I63" s="18"/>
      <c r="J63" s="18"/>
      <c r="K63" s="20"/>
      <c r="L63" s="20"/>
      <c r="M63" s="20"/>
      <c r="N63" s="20"/>
      <c r="O63" s="21"/>
      <c r="P63" s="22" t="n">
        <f aca="false">IF(OR($A63="",N(K63)=0),0,CEILING(K63*(1+IF($O63="",Taux_Compta,$O63))-0.005,Pas_Arrondi))</f>
        <v>0</v>
      </c>
      <c r="Q63" s="22" t="n">
        <f aca="false">IF(OR($A63="",N(L63)=0),0,CEILING(L63*(1+IF($O63="",Taux_Paye,$O63))-0.005,Pas_Arrondi))</f>
        <v>0</v>
      </c>
      <c r="R63" s="22" t="n">
        <f aca="false">IF(OR($A63="",N(M63)=0),0,CEILING(M63*(1+IF($O63="",Taux_Jur,$O63))-0.005,Pas_Arrondi))</f>
        <v>0</v>
      </c>
      <c r="S63" s="22" t="n">
        <f aca="false">IF(OR($A63="",N(N63)=0),0,CEILING(N63*(1+IF($O63="",Taux_PA,$O63))-0.005,Pas_Arrondi))</f>
        <v>0</v>
      </c>
      <c r="T63" s="22" t="str">
        <f aca="false">IF($A63="","",SUM(K63:N63))</f>
        <v/>
      </c>
      <c r="U63" s="22" t="str">
        <f aca="false">IF($A63="","",SUM(P63:S63))</f>
        <v/>
      </c>
      <c r="V63" s="22" t="str">
        <f aca="false">IF($A63="","",U63-T63)</f>
        <v/>
      </c>
      <c r="W63" s="23" t="str">
        <f aca="false">IF(OR($A63="",N(T63)=0),"",V63/T63)</f>
        <v/>
      </c>
      <c r="X63" s="18"/>
      <c r="Y63" s="18"/>
    </row>
    <row r="64" customFormat="false" ht="15" hidden="false" customHeight="false" outlineLevel="0" collapsed="false">
      <c r="A64" s="18"/>
      <c r="B64" s="18"/>
      <c r="C64" s="18"/>
      <c r="D64" s="18"/>
      <c r="E64" s="18"/>
      <c r="F64" s="18"/>
      <c r="G64" s="18"/>
      <c r="H64" s="19"/>
      <c r="I64" s="18"/>
      <c r="J64" s="18"/>
      <c r="K64" s="20"/>
      <c r="L64" s="20"/>
      <c r="M64" s="20"/>
      <c r="N64" s="20"/>
      <c r="O64" s="21"/>
      <c r="P64" s="22" t="n">
        <f aca="false">IF(OR($A64="",N(K64)=0),0,CEILING(K64*(1+IF($O64="",Taux_Compta,$O64))-0.005,Pas_Arrondi))</f>
        <v>0</v>
      </c>
      <c r="Q64" s="22" t="n">
        <f aca="false">IF(OR($A64="",N(L64)=0),0,CEILING(L64*(1+IF($O64="",Taux_Paye,$O64))-0.005,Pas_Arrondi))</f>
        <v>0</v>
      </c>
      <c r="R64" s="22" t="n">
        <f aca="false">IF(OR($A64="",N(M64)=0),0,CEILING(M64*(1+IF($O64="",Taux_Jur,$O64))-0.005,Pas_Arrondi))</f>
        <v>0</v>
      </c>
      <c r="S64" s="22" t="n">
        <f aca="false">IF(OR($A64="",N(N64)=0),0,CEILING(N64*(1+IF($O64="",Taux_PA,$O64))-0.005,Pas_Arrondi))</f>
        <v>0</v>
      </c>
      <c r="T64" s="22" t="str">
        <f aca="false">IF($A64="","",SUM(K64:N64))</f>
        <v/>
      </c>
      <c r="U64" s="22" t="str">
        <f aca="false">IF($A64="","",SUM(P64:S64))</f>
        <v/>
      </c>
      <c r="V64" s="22" t="str">
        <f aca="false">IF($A64="","",U64-T64)</f>
        <v/>
      </c>
      <c r="W64" s="23" t="str">
        <f aca="false">IF(OR($A64="",N(T64)=0),"",V64/T64)</f>
        <v/>
      </c>
      <c r="X64" s="18"/>
      <c r="Y64" s="18"/>
    </row>
    <row r="65" customFormat="false" ht="15" hidden="false" customHeight="false" outlineLevel="0" collapsed="false">
      <c r="A65" s="18"/>
      <c r="B65" s="18"/>
      <c r="C65" s="18"/>
      <c r="D65" s="18"/>
      <c r="E65" s="18"/>
      <c r="F65" s="18"/>
      <c r="G65" s="18"/>
      <c r="H65" s="19"/>
      <c r="I65" s="18"/>
      <c r="J65" s="18"/>
      <c r="K65" s="20"/>
      <c r="L65" s="20"/>
      <c r="M65" s="20"/>
      <c r="N65" s="20"/>
      <c r="O65" s="21"/>
      <c r="P65" s="22" t="n">
        <f aca="false">IF(OR($A65="",N(K65)=0),0,CEILING(K65*(1+IF($O65="",Taux_Compta,$O65))-0.005,Pas_Arrondi))</f>
        <v>0</v>
      </c>
      <c r="Q65" s="22" t="n">
        <f aca="false">IF(OR($A65="",N(L65)=0),0,CEILING(L65*(1+IF($O65="",Taux_Paye,$O65))-0.005,Pas_Arrondi))</f>
        <v>0</v>
      </c>
      <c r="R65" s="22" t="n">
        <f aca="false">IF(OR($A65="",N(M65)=0),0,CEILING(M65*(1+IF($O65="",Taux_Jur,$O65))-0.005,Pas_Arrondi))</f>
        <v>0</v>
      </c>
      <c r="S65" s="22" t="n">
        <f aca="false">IF(OR($A65="",N(N65)=0),0,CEILING(N65*(1+IF($O65="",Taux_PA,$O65))-0.005,Pas_Arrondi))</f>
        <v>0</v>
      </c>
      <c r="T65" s="22" t="str">
        <f aca="false">IF($A65="","",SUM(K65:N65))</f>
        <v/>
      </c>
      <c r="U65" s="22" t="str">
        <f aca="false">IF($A65="","",SUM(P65:S65))</f>
        <v/>
      </c>
      <c r="V65" s="22" t="str">
        <f aca="false">IF($A65="","",U65-T65)</f>
        <v/>
      </c>
      <c r="W65" s="23" t="str">
        <f aca="false">IF(OR($A65="",N(T65)=0),"",V65/T65)</f>
        <v/>
      </c>
      <c r="X65" s="18"/>
      <c r="Y65" s="18"/>
    </row>
    <row r="66" customFormat="false" ht="15" hidden="false" customHeight="false" outlineLevel="0" collapsed="false">
      <c r="A66" s="18"/>
      <c r="B66" s="18"/>
      <c r="C66" s="18"/>
      <c r="D66" s="18"/>
      <c r="E66" s="18"/>
      <c r="F66" s="18"/>
      <c r="G66" s="18"/>
      <c r="H66" s="19"/>
      <c r="I66" s="18"/>
      <c r="J66" s="18"/>
      <c r="K66" s="20"/>
      <c r="L66" s="20"/>
      <c r="M66" s="20"/>
      <c r="N66" s="20"/>
      <c r="O66" s="21"/>
      <c r="P66" s="22" t="n">
        <f aca="false">IF(OR($A66="",N(K66)=0),0,CEILING(K66*(1+IF($O66="",Taux_Compta,$O66))-0.005,Pas_Arrondi))</f>
        <v>0</v>
      </c>
      <c r="Q66" s="22" t="n">
        <f aca="false">IF(OR($A66="",N(L66)=0),0,CEILING(L66*(1+IF($O66="",Taux_Paye,$O66))-0.005,Pas_Arrondi))</f>
        <v>0</v>
      </c>
      <c r="R66" s="22" t="n">
        <f aca="false">IF(OR($A66="",N(M66)=0),0,CEILING(M66*(1+IF($O66="",Taux_Jur,$O66))-0.005,Pas_Arrondi))</f>
        <v>0</v>
      </c>
      <c r="S66" s="22" t="n">
        <f aca="false">IF(OR($A66="",N(N66)=0),0,CEILING(N66*(1+IF($O66="",Taux_PA,$O66))-0.005,Pas_Arrondi))</f>
        <v>0</v>
      </c>
      <c r="T66" s="22" t="str">
        <f aca="false">IF($A66="","",SUM(K66:N66))</f>
        <v/>
      </c>
      <c r="U66" s="22" t="str">
        <f aca="false">IF($A66="","",SUM(P66:S66))</f>
        <v/>
      </c>
      <c r="V66" s="22" t="str">
        <f aca="false">IF($A66="","",U66-T66)</f>
        <v/>
      </c>
      <c r="W66" s="23" t="str">
        <f aca="false">IF(OR($A66="",N(T66)=0),"",V66/T66)</f>
        <v/>
      </c>
      <c r="X66" s="18"/>
      <c r="Y66" s="18"/>
    </row>
    <row r="67" customFormat="false" ht="15" hidden="false" customHeight="false" outlineLevel="0" collapsed="false">
      <c r="A67" s="18"/>
      <c r="B67" s="18"/>
      <c r="C67" s="18"/>
      <c r="D67" s="18"/>
      <c r="E67" s="18"/>
      <c r="F67" s="18"/>
      <c r="G67" s="18"/>
      <c r="H67" s="19"/>
      <c r="I67" s="18"/>
      <c r="J67" s="18"/>
      <c r="K67" s="20"/>
      <c r="L67" s="20"/>
      <c r="M67" s="20"/>
      <c r="N67" s="20"/>
      <c r="O67" s="21"/>
      <c r="P67" s="22" t="n">
        <f aca="false">IF(OR($A67="",N(K67)=0),0,CEILING(K67*(1+IF($O67="",Taux_Compta,$O67))-0.005,Pas_Arrondi))</f>
        <v>0</v>
      </c>
      <c r="Q67" s="22" t="n">
        <f aca="false">IF(OR($A67="",N(L67)=0),0,CEILING(L67*(1+IF($O67="",Taux_Paye,$O67))-0.005,Pas_Arrondi))</f>
        <v>0</v>
      </c>
      <c r="R67" s="22" t="n">
        <f aca="false">IF(OR($A67="",N(M67)=0),0,CEILING(M67*(1+IF($O67="",Taux_Jur,$O67))-0.005,Pas_Arrondi))</f>
        <v>0</v>
      </c>
      <c r="S67" s="22" t="n">
        <f aca="false">IF(OR($A67="",N(N67)=0),0,CEILING(N67*(1+IF($O67="",Taux_PA,$O67))-0.005,Pas_Arrondi))</f>
        <v>0</v>
      </c>
      <c r="T67" s="22" t="str">
        <f aca="false">IF($A67="","",SUM(K67:N67))</f>
        <v/>
      </c>
      <c r="U67" s="22" t="str">
        <f aca="false">IF($A67="","",SUM(P67:S67))</f>
        <v/>
      </c>
      <c r="V67" s="22" t="str">
        <f aca="false">IF($A67="","",U67-T67)</f>
        <v/>
      </c>
      <c r="W67" s="23" t="str">
        <f aca="false">IF(OR($A67="",N(T67)=0),"",V67/T67)</f>
        <v/>
      </c>
      <c r="X67" s="18"/>
      <c r="Y67" s="18"/>
    </row>
    <row r="68" customFormat="false" ht="15" hidden="false" customHeight="false" outlineLevel="0" collapsed="false">
      <c r="A68" s="18"/>
      <c r="B68" s="18"/>
      <c r="C68" s="18"/>
      <c r="D68" s="18"/>
      <c r="E68" s="18"/>
      <c r="F68" s="18"/>
      <c r="G68" s="18"/>
      <c r="H68" s="19"/>
      <c r="I68" s="18"/>
      <c r="J68" s="18"/>
      <c r="K68" s="20"/>
      <c r="L68" s="20"/>
      <c r="M68" s="20"/>
      <c r="N68" s="20"/>
      <c r="O68" s="21"/>
      <c r="P68" s="22" t="n">
        <f aca="false">IF(OR($A68="",N(K68)=0),0,CEILING(K68*(1+IF($O68="",Taux_Compta,$O68))-0.005,Pas_Arrondi))</f>
        <v>0</v>
      </c>
      <c r="Q68" s="22" t="n">
        <f aca="false">IF(OR($A68="",N(L68)=0),0,CEILING(L68*(1+IF($O68="",Taux_Paye,$O68))-0.005,Pas_Arrondi))</f>
        <v>0</v>
      </c>
      <c r="R68" s="22" t="n">
        <f aca="false">IF(OR($A68="",N(M68)=0),0,CEILING(M68*(1+IF($O68="",Taux_Jur,$O68))-0.005,Pas_Arrondi))</f>
        <v>0</v>
      </c>
      <c r="S68" s="22" t="n">
        <f aca="false">IF(OR($A68="",N(N68)=0),0,CEILING(N68*(1+IF($O68="",Taux_PA,$O68))-0.005,Pas_Arrondi))</f>
        <v>0</v>
      </c>
      <c r="T68" s="22" t="str">
        <f aca="false">IF($A68="","",SUM(K68:N68))</f>
        <v/>
      </c>
      <c r="U68" s="22" t="str">
        <f aca="false">IF($A68="","",SUM(P68:S68))</f>
        <v/>
      </c>
      <c r="V68" s="22" t="str">
        <f aca="false">IF($A68="","",U68-T68)</f>
        <v/>
      </c>
      <c r="W68" s="23" t="str">
        <f aca="false">IF(OR($A68="",N(T68)=0),"",V68/T68)</f>
        <v/>
      </c>
      <c r="X68" s="18"/>
      <c r="Y68" s="18"/>
    </row>
    <row r="69" customFormat="false" ht="15" hidden="false" customHeight="false" outlineLevel="0" collapsed="false">
      <c r="A69" s="18"/>
      <c r="B69" s="18"/>
      <c r="C69" s="18"/>
      <c r="D69" s="18"/>
      <c r="E69" s="18"/>
      <c r="F69" s="18"/>
      <c r="G69" s="18"/>
      <c r="H69" s="19"/>
      <c r="I69" s="18"/>
      <c r="J69" s="18"/>
      <c r="K69" s="20"/>
      <c r="L69" s="20"/>
      <c r="M69" s="20"/>
      <c r="N69" s="20"/>
      <c r="O69" s="21"/>
      <c r="P69" s="22" t="n">
        <f aca="false">IF(OR($A69="",N(K69)=0),0,CEILING(K69*(1+IF($O69="",Taux_Compta,$O69))-0.005,Pas_Arrondi))</f>
        <v>0</v>
      </c>
      <c r="Q69" s="22" t="n">
        <f aca="false">IF(OR($A69="",N(L69)=0),0,CEILING(L69*(1+IF($O69="",Taux_Paye,$O69))-0.005,Pas_Arrondi))</f>
        <v>0</v>
      </c>
      <c r="R69" s="22" t="n">
        <f aca="false">IF(OR($A69="",N(M69)=0),0,CEILING(M69*(1+IF($O69="",Taux_Jur,$O69))-0.005,Pas_Arrondi))</f>
        <v>0</v>
      </c>
      <c r="S69" s="22" t="n">
        <f aca="false">IF(OR($A69="",N(N69)=0),0,CEILING(N69*(1+IF($O69="",Taux_PA,$O69))-0.005,Pas_Arrondi))</f>
        <v>0</v>
      </c>
      <c r="T69" s="22" t="str">
        <f aca="false">IF($A69="","",SUM(K69:N69))</f>
        <v/>
      </c>
      <c r="U69" s="22" t="str">
        <f aca="false">IF($A69="","",SUM(P69:S69))</f>
        <v/>
      </c>
      <c r="V69" s="22" t="str">
        <f aca="false">IF($A69="","",U69-T69)</f>
        <v/>
      </c>
      <c r="W69" s="23" t="str">
        <f aca="false">IF(OR($A69="",N(T69)=0),"",V69/T69)</f>
        <v/>
      </c>
      <c r="X69" s="18"/>
      <c r="Y69" s="18"/>
    </row>
    <row r="70" customFormat="false" ht="15" hidden="false" customHeight="false" outlineLevel="0" collapsed="false">
      <c r="A70" s="18"/>
      <c r="B70" s="18"/>
      <c r="C70" s="18"/>
      <c r="D70" s="18"/>
      <c r="E70" s="18"/>
      <c r="F70" s="18"/>
      <c r="G70" s="18"/>
      <c r="H70" s="19"/>
      <c r="I70" s="18"/>
      <c r="J70" s="18"/>
      <c r="K70" s="20"/>
      <c r="L70" s="20"/>
      <c r="M70" s="20"/>
      <c r="N70" s="20"/>
      <c r="O70" s="21"/>
      <c r="P70" s="22" t="n">
        <f aca="false">IF(OR($A70="",N(K70)=0),0,CEILING(K70*(1+IF($O70="",Taux_Compta,$O70))-0.005,Pas_Arrondi))</f>
        <v>0</v>
      </c>
      <c r="Q70" s="22" t="n">
        <f aca="false">IF(OR($A70="",N(L70)=0),0,CEILING(L70*(1+IF($O70="",Taux_Paye,$O70))-0.005,Pas_Arrondi))</f>
        <v>0</v>
      </c>
      <c r="R70" s="22" t="n">
        <f aca="false">IF(OR($A70="",N(M70)=0),0,CEILING(M70*(1+IF($O70="",Taux_Jur,$O70))-0.005,Pas_Arrondi))</f>
        <v>0</v>
      </c>
      <c r="S70" s="22" t="n">
        <f aca="false">IF(OR($A70="",N(N70)=0),0,CEILING(N70*(1+IF($O70="",Taux_PA,$O70))-0.005,Pas_Arrondi))</f>
        <v>0</v>
      </c>
      <c r="T70" s="22" t="str">
        <f aca="false">IF($A70="","",SUM(K70:N70))</f>
        <v/>
      </c>
      <c r="U70" s="22" t="str">
        <f aca="false">IF($A70="","",SUM(P70:S70))</f>
        <v/>
      </c>
      <c r="V70" s="22" t="str">
        <f aca="false">IF($A70="","",U70-T70)</f>
        <v/>
      </c>
      <c r="W70" s="23" t="str">
        <f aca="false">IF(OR($A70="",N(T70)=0),"",V70/T70)</f>
        <v/>
      </c>
      <c r="X70" s="18"/>
      <c r="Y70" s="18"/>
    </row>
    <row r="71" customFormat="false" ht="15" hidden="false" customHeight="false" outlineLevel="0" collapsed="false">
      <c r="A71" s="18"/>
      <c r="B71" s="18"/>
      <c r="C71" s="18"/>
      <c r="D71" s="18"/>
      <c r="E71" s="18"/>
      <c r="F71" s="18"/>
      <c r="G71" s="18"/>
      <c r="H71" s="19"/>
      <c r="I71" s="18"/>
      <c r="J71" s="18"/>
      <c r="K71" s="20"/>
      <c r="L71" s="20"/>
      <c r="M71" s="20"/>
      <c r="N71" s="20"/>
      <c r="O71" s="21"/>
      <c r="P71" s="22" t="n">
        <f aca="false">IF(OR($A71="",N(K71)=0),0,CEILING(K71*(1+IF($O71="",Taux_Compta,$O71))-0.005,Pas_Arrondi))</f>
        <v>0</v>
      </c>
      <c r="Q71" s="22" t="n">
        <f aca="false">IF(OR($A71="",N(L71)=0),0,CEILING(L71*(1+IF($O71="",Taux_Paye,$O71))-0.005,Pas_Arrondi))</f>
        <v>0</v>
      </c>
      <c r="R71" s="22" t="n">
        <f aca="false">IF(OR($A71="",N(M71)=0),0,CEILING(M71*(1+IF($O71="",Taux_Jur,$O71))-0.005,Pas_Arrondi))</f>
        <v>0</v>
      </c>
      <c r="S71" s="22" t="n">
        <f aca="false">IF(OR($A71="",N(N71)=0),0,CEILING(N71*(1+IF($O71="",Taux_PA,$O71))-0.005,Pas_Arrondi))</f>
        <v>0</v>
      </c>
      <c r="T71" s="22" t="str">
        <f aca="false">IF($A71="","",SUM(K71:N71))</f>
        <v/>
      </c>
      <c r="U71" s="22" t="str">
        <f aca="false">IF($A71="","",SUM(P71:S71))</f>
        <v/>
      </c>
      <c r="V71" s="22" t="str">
        <f aca="false">IF($A71="","",U71-T71)</f>
        <v/>
      </c>
      <c r="W71" s="23" t="str">
        <f aca="false">IF(OR($A71="",N(T71)=0),"",V71/T71)</f>
        <v/>
      </c>
      <c r="X71" s="18"/>
      <c r="Y71" s="18"/>
    </row>
    <row r="72" customFormat="false" ht="15" hidden="false" customHeight="false" outlineLevel="0" collapsed="false">
      <c r="A72" s="18"/>
      <c r="B72" s="18"/>
      <c r="C72" s="18"/>
      <c r="D72" s="18"/>
      <c r="E72" s="18"/>
      <c r="F72" s="18"/>
      <c r="G72" s="18"/>
      <c r="H72" s="19"/>
      <c r="I72" s="18"/>
      <c r="J72" s="18"/>
      <c r="K72" s="20"/>
      <c r="L72" s="20"/>
      <c r="M72" s="20"/>
      <c r="N72" s="20"/>
      <c r="O72" s="21"/>
      <c r="P72" s="22" t="n">
        <f aca="false">IF(OR($A72="",N(K72)=0),0,CEILING(K72*(1+IF($O72="",Taux_Compta,$O72))-0.005,Pas_Arrondi))</f>
        <v>0</v>
      </c>
      <c r="Q72" s="22" t="n">
        <f aca="false">IF(OR($A72="",N(L72)=0),0,CEILING(L72*(1+IF($O72="",Taux_Paye,$O72))-0.005,Pas_Arrondi))</f>
        <v>0</v>
      </c>
      <c r="R72" s="22" t="n">
        <f aca="false">IF(OR($A72="",N(M72)=0),0,CEILING(M72*(1+IF($O72="",Taux_Jur,$O72))-0.005,Pas_Arrondi))</f>
        <v>0</v>
      </c>
      <c r="S72" s="22" t="n">
        <f aca="false">IF(OR($A72="",N(N72)=0),0,CEILING(N72*(1+IF($O72="",Taux_PA,$O72))-0.005,Pas_Arrondi))</f>
        <v>0</v>
      </c>
      <c r="T72" s="22" t="str">
        <f aca="false">IF($A72="","",SUM(K72:N72))</f>
        <v/>
      </c>
      <c r="U72" s="22" t="str">
        <f aca="false">IF($A72="","",SUM(P72:S72))</f>
        <v/>
      </c>
      <c r="V72" s="22" t="str">
        <f aca="false">IF($A72="","",U72-T72)</f>
        <v/>
      </c>
      <c r="W72" s="23" t="str">
        <f aca="false">IF(OR($A72="",N(T72)=0),"",V72/T72)</f>
        <v/>
      </c>
      <c r="X72" s="18"/>
      <c r="Y72" s="18"/>
    </row>
    <row r="73" customFormat="false" ht="15" hidden="false" customHeight="false" outlineLevel="0" collapsed="false">
      <c r="A73" s="18"/>
      <c r="B73" s="18"/>
      <c r="C73" s="18"/>
      <c r="D73" s="18"/>
      <c r="E73" s="18"/>
      <c r="F73" s="18"/>
      <c r="G73" s="18"/>
      <c r="H73" s="19"/>
      <c r="I73" s="18"/>
      <c r="J73" s="18"/>
      <c r="K73" s="20"/>
      <c r="L73" s="20"/>
      <c r="M73" s="20"/>
      <c r="N73" s="20"/>
      <c r="O73" s="21"/>
      <c r="P73" s="22" t="n">
        <f aca="false">IF(OR($A73="",N(K73)=0),0,CEILING(K73*(1+IF($O73="",Taux_Compta,$O73))-0.005,Pas_Arrondi))</f>
        <v>0</v>
      </c>
      <c r="Q73" s="22" t="n">
        <f aca="false">IF(OR($A73="",N(L73)=0),0,CEILING(L73*(1+IF($O73="",Taux_Paye,$O73))-0.005,Pas_Arrondi))</f>
        <v>0</v>
      </c>
      <c r="R73" s="22" t="n">
        <f aca="false">IF(OR($A73="",N(M73)=0),0,CEILING(M73*(1+IF($O73="",Taux_Jur,$O73))-0.005,Pas_Arrondi))</f>
        <v>0</v>
      </c>
      <c r="S73" s="22" t="n">
        <f aca="false">IF(OR($A73="",N(N73)=0),0,CEILING(N73*(1+IF($O73="",Taux_PA,$O73))-0.005,Pas_Arrondi))</f>
        <v>0</v>
      </c>
      <c r="T73" s="22" t="str">
        <f aca="false">IF($A73="","",SUM(K73:N73))</f>
        <v/>
      </c>
      <c r="U73" s="22" t="str">
        <f aca="false">IF($A73="","",SUM(P73:S73))</f>
        <v/>
      </c>
      <c r="V73" s="22" t="str">
        <f aca="false">IF($A73="","",U73-T73)</f>
        <v/>
      </c>
      <c r="W73" s="23" t="str">
        <f aca="false">IF(OR($A73="",N(T73)=0),"",V73/T73)</f>
        <v/>
      </c>
      <c r="X73" s="18"/>
      <c r="Y73" s="18"/>
    </row>
    <row r="74" customFormat="false" ht="15" hidden="false" customHeight="false" outlineLevel="0" collapsed="false">
      <c r="A74" s="18"/>
      <c r="B74" s="18"/>
      <c r="C74" s="18"/>
      <c r="D74" s="18"/>
      <c r="E74" s="18"/>
      <c r="F74" s="18"/>
      <c r="G74" s="18"/>
      <c r="H74" s="19"/>
      <c r="I74" s="18"/>
      <c r="J74" s="18"/>
      <c r="K74" s="20"/>
      <c r="L74" s="20"/>
      <c r="M74" s="20"/>
      <c r="N74" s="20"/>
      <c r="O74" s="21"/>
      <c r="P74" s="22" t="n">
        <f aca="false">IF(OR($A74="",N(K74)=0),0,CEILING(K74*(1+IF($O74="",Taux_Compta,$O74))-0.005,Pas_Arrondi))</f>
        <v>0</v>
      </c>
      <c r="Q74" s="22" t="n">
        <f aca="false">IF(OR($A74="",N(L74)=0),0,CEILING(L74*(1+IF($O74="",Taux_Paye,$O74))-0.005,Pas_Arrondi))</f>
        <v>0</v>
      </c>
      <c r="R74" s="22" t="n">
        <f aca="false">IF(OR($A74="",N(M74)=0),0,CEILING(M74*(1+IF($O74="",Taux_Jur,$O74))-0.005,Pas_Arrondi))</f>
        <v>0</v>
      </c>
      <c r="S74" s="22" t="n">
        <f aca="false">IF(OR($A74="",N(N74)=0),0,CEILING(N74*(1+IF($O74="",Taux_PA,$O74))-0.005,Pas_Arrondi))</f>
        <v>0</v>
      </c>
      <c r="T74" s="22" t="str">
        <f aca="false">IF($A74="","",SUM(K74:N74))</f>
        <v/>
      </c>
      <c r="U74" s="22" t="str">
        <f aca="false">IF($A74="","",SUM(P74:S74))</f>
        <v/>
      </c>
      <c r="V74" s="22" t="str">
        <f aca="false">IF($A74="","",U74-T74)</f>
        <v/>
      </c>
      <c r="W74" s="23" t="str">
        <f aca="false">IF(OR($A74="",N(T74)=0),"",V74/T74)</f>
        <v/>
      </c>
      <c r="X74" s="18"/>
      <c r="Y74" s="18"/>
    </row>
    <row r="75" customFormat="false" ht="15" hidden="false" customHeight="false" outlineLevel="0" collapsed="false">
      <c r="A75" s="18"/>
      <c r="B75" s="18"/>
      <c r="C75" s="18"/>
      <c r="D75" s="18"/>
      <c r="E75" s="18"/>
      <c r="F75" s="18"/>
      <c r="G75" s="18"/>
      <c r="H75" s="19"/>
      <c r="I75" s="18"/>
      <c r="J75" s="18"/>
      <c r="K75" s="20"/>
      <c r="L75" s="20"/>
      <c r="M75" s="20"/>
      <c r="N75" s="20"/>
      <c r="O75" s="21"/>
      <c r="P75" s="22" t="n">
        <f aca="false">IF(OR($A75="",N(K75)=0),0,CEILING(K75*(1+IF($O75="",Taux_Compta,$O75))-0.005,Pas_Arrondi))</f>
        <v>0</v>
      </c>
      <c r="Q75" s="22" t="n">
        <f aca="false">IF(OR($A75="",N(L75)=0),0,CEILING(L75*(1+IF($O75="",Taux_Paye,$O75))-0.005,Pas_Arrondi))</f>
        <v>0</v>
      </c>
      <c r="R75" s="22" t="n">
        <f aca="false">IF(OR($A75="",N(M75)=0),0,CEILING(M75*(1+IF($O75="",Taux_Jur,$O75))-0.005,Pas_Arrondi))</f>
        <v>0</v>
      </c>
      <c r="S75" s="22" t="n">
        <f aca="false">IF(OR($A75="",N(N75)=0),0,CEILING(N75*(1+IF($O75="",Taux_PA,$O75))-0.005,Pas_Arrondi))</f>
        <v>0</v>
      </c>
      <c r="T75" s="22" t="str">
        <f aca="false">IF($A75="","",SUM(K75:N75))</f>
        <v/>
      </c>
      <c r="U75" s="22" t="str">
        <f aca="false">IF($A75="","",SUM(P75:S75))</f>
        <v/>
      </c>
      <c r="V75" s="22" t="str">
        <f aca="false">IF($A75="","",U75-T75)</f>
        <v/>
      </c>
      <c r="W75" s="23" t="str">
        <f aca="false">IF(OR($A75="",N(T75)=0),"",V75/T75)</f>
        <v/>
      </c>
      <c r="X75" s="18"/>
      <c r="Y75" s="18"/>
    </row>
    <row r="76" customFormat="false" ht="15" hidden="false" customHeight="false" outlineLevel="0" collapsed="false">
      <c r="A76" s="18"/>
      <c r="B76" s="18"/>
      <c r="C76" s="18"/>
      <c r="D76" s="18"/>
      <c r="E76" s="18"/>
      <c r="F76" s="18"/>
      <c r="G76" s="18"/>
      <c r="H76" s="19"/>
      <c r="I76" s="18"/>
      <c r="J76" s="18"/>
      <c r="K76" s="20"/>
      <c r="L76" s="20"/>
      <c r="M76" s="20"/>
      <c r="N76" s="20"/>
      <c r="O76" s="21"/>
      <c r="P76" s="22" t="n">
        <f aca="false">IF(OR($A76="",N(K76)=0),0,CEILING(K76*(1+IF($O76="",Taux_Compta,$O76))-0.005,Pas_Arrondi))</f>
        <v>0</v>
      </c>
      <c r="Q76" s="22" t="n">
        <f aca="false">IF(OR($A76="",N(L76)=0),0,CEILING(L76*(1+IF($O76="",Taux_Paye,$O76))-0.005,Pas_Arrondi))</f>
        <v>0</v>
      </c>
      <c r="R76" s="22" t="n">
        <f aca="false">IF(OR($A76="",N(M76)=0),0,CEILING(M76*(1+IF($O76="",Taux_Jur,$O76))-0.005,Pas_Arrondi))</f>
        <v>0</v>
      </c>
      <c r="S76" s="22" t="n">
        <f aca="false">IF(OR($A76="",N(N76)=0),0,CEILING(N76*(1+IF($O76="",Taux_PA,$O76))-0.005,Pas_Arrondi))</f>
        <v>0</v>
      </c>
      <c r="T76" s="22" t="str">
        <f aca="false">IF($A76="","",SUM(K76:N76))</f>
        <v/>
      </c>
      <c r="U76" s="22" t="str">
        <f aca="false">IF($A76="","",SUM(P76:S76))</f>
        <v/>
      </c>
      <c r="V76" s="22" t="str">
        <f aca="false">IF($A76="","",U76-T76)</f>
        <v/>
      </c>
      <c r="W76" s="23" t="str">
        <f aca="false">IF(OR($A76="",N(T76)=0),"",V76/T76)</f>
        <v/>
      </c>
      <c r="X76" s="18"/>
      <c r="Y76" s="18"/>
    </row>
    <row r="77" customFormat="false" ht="15" hidden="false" customHeight="false" outlineLevel="0" collapsed="false">
      <c r="A77" s="18"/>
      <c r="B77" s="18"/>
      <c r="C77" s="18"/>
      <c r="D77" s="18"/>
      <c r="E77" s="18"/>
      <c r="F77" s="18"/>
      <c r="G77" s="18"/>
      <c r="H77" s="19"/>
      <c r="I77" s="18"/>
      <c r="J77" s="18"/>
      <c r="K77" s="20"/>
      <c r="L77" s="20"/>
      <c r="M77" s="20"/>
      <c r="N77" s="20"/>
      <c r="O77" s="21"/>
      <c r="P77" s="22" t="n">
        <f aca="false">IF(OR($A77="",N(K77)=0),0,CEILING(K77*(1+IF($O77="",Taux_Compta,$O77))-0.005,Pas_Arrondi))</f>
        <v>0</v>
      </c>
      <c r="Q77" s="22" t="n">
        <f aca="false">IF(OR($A77="",N(L77)=0),0,CEILING(L77*(1+IF($O77="",Taux_Paye,$O77))-0.005,Pas_Arrondi))</f>
        <v>0</v>
      </c>
      <c r="R77" s="22" t="n">
        <f aca="false">IF(OR($A77="",N(M77)=0),0,CEILING(M77*(1+IF($O77="",Taux_Jur,$O77))-0.005,Pas_Arrondi))</f>
        <v>0</v>
      </c>
      <c r="S77" s="22" t="n">
        <f aca="false">IF(OR($A77="",N(N77)=0),0,CEILING(N77*(1+IF($O77="",Taux_PA,$O77))-0.005,Pas_Arrondi))</f>
        <v>0</v>
      </c>
      <c r="T77" s="22" t="str">
        <f aca="false">IF($A77="","",SUM(K77:N77))</f>
        <v/>
      </c>
      <c r="U77" s="22" t="str">
        <f aca="false">IF($A77="","",SUM(P77:S77))</f>
        <v/>
      </c>
      <c r="V77" s="22" t="str">
        <f aca="false">IF($A77="","",U77-T77)</f>
        <v/>
      </c>
      <c r="W77" s="23" t="str">
        <f aca="false">IF(OR($A77="",N(T77)=0),"",V77/T77)</f>
        <v/>
      </c>
      <c r="X77" s="18"/>
      <c r="Y77" s="18"/>
    </row>
    <row r="78" customFormat="false" ht="15" hidden="false" customHeight="false" outlineLevel="0" collapsed="false">
      <c r="A78" s="18"/>
      <c r="B78" s="18"/>
      <c r="C78" s="18"/>
      <c r="D78" s="18"/>
      <c r="E78" s="18"/>
      <c r="F78" s="18"/>
      <c r="G78" s="18"/>
      <c r="H78" s="19"/>
      <c r="I78" s="18"/>
      <c r="J78" s="18"/>
      <c r="K78" s="20"/>
      <c r="L78" s="20"/>
      <c r="M78" s="20"/>
      <c r="N78" s="20"/>
      <c r="O78" s="21"/>
      <c r="P78" s="22" t="n">
        <f aca="false">IF(OR($A78="",N(K78)=0),0,CEILING(K78*(1+IF($O78="",Taux_Compta,$O78))-0.005,Pas_Arrondi))</f>
        <v>0</v>
      </c>
      <c r="Q78" s="22" t="n">
        <f aca="false">IF(OR($A78="",N(L78)=0),0,CEILING(L78*(1+IF($O78="",Taux_Paye,$O78))-0.005,Pas_Arrondi))</f>
        <v>0</v>
      </c>
      <c r="R78" s="22" t="n">
        <f aca="false">IF(OR($A78="",N(M78)=0),0,CEILING(M78*(1+IF($O78="",Taux_Jur,$O78))-0.005,Pas_Arrondi))</f>
        <v>0</v>
      </c>
      <c r="S78" s="22" t="n">
        <f aca="false">IF(OR($A78="",N(N78)=0),0,CEILING(N78*(1+IF($O78="",Taux_PA,$O78))-0.005,Pas_Arrondi))</f>
        <v>0</v>
      </c>
      <c r="T78" s="22" t="str">
        <f aca="false">IF($A78="","",SUM(K78:N78))</f>
        <v/>
      </c>
      <c r="U78" s="22" t="str">
        <f aca="false">IF($A78="","",SUM(P78:S78))</f>
        <v/>
      </c>
      <c r="V78" s="22" t="str">
        <f aca="false">IF($A78="","",U78-T78)</f>
        <v/>
      </c>
      <c r="W78" s="23" t="str">
        <f aca="false">IF(OR($A78="",N(T78)=0),"",V78/T78)</f>
        <v/>
      </c>
      <c r="X78" s="18"/>
      <c r="Y78" s="18"/>
    </row>
    <row r="79" customFormat="false" ht="15" hidden="false" customHeight="false" outlineLevel="0" collapsed="false">
      <c r="A79" s="18"/>
      <c r="B79" s="18"/>
      <c r="C79" s="18"/>
      <c r="D79" s="18"/>
      <c r="E79" s="18"/>
      <c r="F79" s="18"/>
      <c r="G79" s="18"/>
      <c r="H79" s="19"/>
      <c r="I79" s="18"/>
      <c r="J79" s="18"/>
      <c r="K79" s="20"/>
      <c r="L79" s="20"/>
      <c r="M79" s="20"/>
      <c r="N79" s="20"/>
      <c r="O79" s="21"/>
      <c r="P79" s="22" t="n">
        <f aca="false">IF(OR($A79="",N(K79)=0),0,CEILING(K79*(1+IF($O79="",Taux_Compta,$O79))-0.005,Pas_Arrondi))</f>
        <v>0</v>
      </c>
      <c r="Q79" s="22" t="n">
        <f aca="false">IF(OR($A79="",N(L79)=0),0,CEILING(L79*(1+IF($O79="",Taux_Paye,$O79))-0.005,Pas_Arrondi))</f>
        <v>0</v>
      </c>
      <c r="R79" s="22" t="n">
        <f aca="false">IF(OR($A79="",N(M79)=0),0,CEILING(M79*(1+IF($O79="",Taux_Jur,$O79))-0.005,Pas_Arrondi))</f>
        <v>0</v>
      </c>
      <c r="S79" s="22" t="n">
        <f aca="false">IF(OR($A79="",N(N79)=0),0,CEILING(N79*(1+IF($O79="",Taux_PA,$O79))-0.005,Pas_Arrondi))</f>
        <v>0</v>
      </c>
      <c r="T79" s="22" t="str">
        <f aca="false">IF($A79="","",SUM(K79:N79))</f>
        <v/>
      </c>
      <c r="U79" s="22" t="str">
        <f aca="false">IF($A79="","",SUM(P79:S79))</f>
        <v/>
      </c>
      <c r="V79" s="22" t="str">
        <f aca="false">IF($A79="","",U79-T79)</f>
        <v/>
      </c>
      <c r="W79" s="23" t="str">
        <f aca="false">IF(OR($A79="",N(T79)=0),"",V79/T79)</f>
        <v/>
      </c>
      <c r="X79" s="18"/>
      <c r="Y79" s="18"/>
    </row>
    <row r="80" customFormat="false" ht="15" hidden="false" customHeight="false" outlineLevel="0" collapsed="false">
      <c r="A80" s="18"/>
      <c r="B80" s="18"/>
      <c r="C80" s="18"/>
      <c r="D80" s="18"/>
      <c r="E80" s="18"/>
      <c r="F80" s="18"/>
      <c r="G80" s="18"/>
      <c r="H80" s="19"/>
      <c r="I80" s="18"/>
      <c r="J80" s="18"/>
      <c r="K80" s="20"/>
      <c r="L80" s="20"/>
      <c r="M80" s="20"/>
      <c r="N80" s="20"/>
      <c r="O80" s="21"/>
      <c r="P80" s="22" t="n">
        <f aca="false">IF(OR($A80="",N(K80)=0),0,CEILING(K80*(1+IF($O80="",Taux_Compta,$O80))-0.005,Pas_Arrondi))</f>
        <v>0</v>
      </c>
      <c r="Q80" s="22" t="n">
        <f aca="false">IF(OR($A80="",N(L80)=0),0,CEILING(L80*(1+IF($O80="",Taux_Paye,$O80))-0.005,Pas_Arrondi))</f>
        <v>0</v>
      </c>
      <c r="R80" s="22" t="n">
        <f aca="false">IF(OR($A80="",N(M80)=0),0,CEILING(M80*(1+IF($O80="",Taux_Jur,$O80))-0.005,Pas_Arrondi))</f>
        <v>0</v>
      </c>
      <c r="S80" s="22" t="n">
        <f aca="false">IF(OR($A80="",N(N80)=0),0,CEILING(N80*(1+IF($O80="",Taux_PA,$O80))-0.005,Pas_Arrondi))</f>
        <v>0</v>
      </c>
      <c r="T80" s="22" t="str">
        <f aca="false">IF($A80="","",SUM(K80:N80))</f>
        <v/>
      </c>
      <c r="U80" s="22" t="str">
        <f aca="false">IF($A80="","",SUM(P80:S80))</f>
        <v/>
      </c>
      <c r="V80" s="22" t="str">
        <f aca="false">IF($A80="","",U80-T80)</f>
        <v/>
      </c>
      <c r="W80" s="23" t="str">
        <f aca="false">IF(OR($A80="",N(T80)=0),"",V80/T80)</f>
        <v/>
      </c>
      <c r="X80" s="18"/>
      <c r="Y80" s="18"/>
    </row>
    <row r="81" customFormat="false" ht="15" hidden="false" customHeight="false" outlineLevel="0" collapsed="false">
      <c r="A81" s="18"/>
      <c r="B81" s="18"/>
      <c r="C81" s="18"/>
      <c r="D81" s="18"/>
      <c r="E81" s="18"/>
      <c r="F81" s="18"/>
      <c r="G81" s="18"/>
      <c r="H81" s="19"/>
      <c r="I81" s="18"/>
      <c r="J81" s="18"/>
      <c r="K81" s="20"/>
      <c r="L81" s="20"/>
      <c r="M81" s="20"/>
      <c r="N81" s="20"/>
      <c r="O81" s="21"/>
      <c r="P81" s="22" t="n">
        <f aca="false">IF(OR($A81="",N(K81)=0),0,CEILING(K81*(1+IF($O81="",Taux_Compta,$O81))-0.005,Pas_Arrondi))</f>
        <v>0</v>
      </c>
      <c r="Q81" s="22" t="n">
        <f aca="false">IF(OR($A81="",N(L81)=0),0,CEILING(L81*(1+IF($O81="",Taux_Paye,$O81))-0.005,Pas_Arrondi))</f>
        <v>0</v>
      </c>
      <c r="R81" s="22" t="n">
        <f aca="false">IF(OR($A81="",N(M81)=0),0,CEILING(M81*(1+IF($O81="",Taux_Jur,$O81))-0.005,Pas_Arrondi))</f>
        <v>0</v>
      </c>
      <c r="S81" s="22" t="n">
        <f aca="false">IF(OR($A81="",N(N81)=0),0,CEILING(N81*(1+IF($O81="",Taux_PA,$O81))-0.005,Pas_Arrondi))</f>
        <v>0</v>
      </c>
      <c r="T81" s="22" t="str">
        <f aca="false">IF($A81="","",SUM(K81:N81))</f>
        <v/>
      </c>
      <c r="U81" s="22" t="str">
        <f aca="false">IF($A81="","",SUM(P81:S81))</f>
        <v/>
      </c>
      <c r="V81" s="22" t="str">
        <f aca="false">IF($A81="","",U81-T81)</f>
        <v/>
      </c>
      <c r="W81" s="23" t="str">
        <f aca="false">IF(OR($A81="",N(T81)=0),"",V81/T81)</f>
        <v/>
      </c>
      <c r="X81" s="18"/>
      <c r="Y81" s="18"/>
    </row>
    <row r="82" customFormat="false" ht="15" hidden="false" customHeight="false" outlineLevel="0" collapsed="false">
      <c r="A82" s="18"/>
      <c r="B82" s="18"/>
      <c r="C82" s="18"/>
      <c r="D82" s="18"/>
      <c r="E82" s="18"/>
      <c r="F82" s="18"/>
      <c r="G82" s="18"/>
      <c r="H82" s="19"/>
      <c r="I82" s="18"/>
      <c r="J82" s="18"/>
      <c r="K82" s="20"/>
      <c r="L82" s="20"/>
      <c r="M82" s="20"/>
      <c r="N82" s="20"/>
      <c r="O82" s="21"/>
      <c r="P82" s="22" t="n">
        <f aca="false">IF(OR($A82="",N(K82)=0),0,CEILING(K82*(1+IF($O82="",Taux_Compta,$O82))-0.005,Pas_Arrondi))</f>
        <v>0</v>
      </c>
      <c r="Q82" s="22" t="n">
        <f aca="false">IF(OR($A82="",N(L82)=0),0,CEILING(L82*(1+IF($O82="",Taux_Paye,$O82))-0.005,Pas_Arrondi))</f>
        <v>0</v>
      </c>
      <c r="R82" s="22" t="n">
        <f aca="false">IF(OR($A82="",N(M82)=0),0,CEILING(M82*(1+IF($O82="",Taux_Jur,$O82))-0.005,Pas_Arrondi))</f>
        <v>0</v>
      </c>
      <c r="S82" s="22" t="n">
        <f aca="false">IF(OR($A82="",N(N82)=0),0,CEILING(N82*(1+IF($O82="",Taux_PA,$O82))-0.005,Pas_Arrondi))</f>
        <v>0</v>
      </c>
      <c r="T82" s="22" t="str">
        <f aca="false">IF($A82="","",SUM(K82:N82))</f>
        <v/>
      </c>
      <c r="U82" s="22" t="str">
        <f aca="false">IF($A82="","",SUM(P82:S82))</f>
        <v/>
      </c>
      <c r="V82" s="22" t="str">
        <f aca="false">IF($A82="","",U82-T82)</f>
        <v/>
      </c>
      <c r="W82" s="23" t="str">
        <f aca="false">IF(OR($A82="",N(T82)=0),"",V82/T82)</f>
        <v/>
      </c>
      <c r="X82" s="18"/>
      <c r="Y82" s="18"/>
    </row>
    <row r="83" customFormat="false" ht="15" hidden="false" customHeight="false" outlineLevel="0" collapsed="false">
      <c r="A83" s="18"/>
      <c r="B83" s="18"/>
      <c r="C83" s="18"/>
      <c r="D83" s="18"/>
      <c r="E83" s="18"/>
      <c r="F83" s="18"/>
      <c r="G83" s="18"/>
      <c r="H83" s="19"/>
      <c r="I83" s="18"/>
      <c r="J83" s="18"/>
      <c r="K83" s="20"/>
      <c r="L83" s="20"/>
      <c r="M83" s="20"/>
      <c r="N83" s="20"/>
      <c r="O83" s="21"/>
      <c r="P83" s="22" t="n">
        <f aca="false">IF(OR($A83="",N(K83)=0),0,CEILING(K83*(1+IF($O83="",Taux_Compta,$O83))-0.005,Pas_Arrondi))</f>
        <v>0</v>
      </c>
      <c r="Q83" s="22" t="n">
        <f aca="false">IF(OR($A83="",N(L83)=0),0,CEILING(L83*(1+IF($O83="",Taux_Paye,$O83))-0.005,Pas_Arrondi))</f>
        <v>0</v>
      </c>
      <c r="R83" s="22" t="n">
        <f aca="false">IF(OR($A83="",N(M83)=0),0,CEILING(M83*(1+IF($O83="",Taux_Jur,$O83))-0.005,Pas_Arrondi))</f>
        <v>0</v>
      </c>
      <c r="S83" s="22" t="n">
        <f aca="false">IF(OR($A83="",N(N83)=0),0,CEILING(N83*(1+IF($O83="",Taux_PA,$O83))-0.005,Pas_Arrondi))</f>
        <v>0</v>
      </c>
      <c r="T83" s="22" t="str">
        <f aca="false">IF($A83="","",SUM(K83:N83))</f>
        <v/>
      </c>
      <c r="U83" s="22" t="str">
        <f aca="false">IF($A83="","",SUM(P83:S83))</f>
        <v/>
      </c>
      <c r="V83" s="22" t="str">
        <f aca="false">IF($A83="","",U83-T83)</f>
        <v/>
      </c>
      <c r="W83" s="23" t="str">
        <f aca="false">IF(OR($A83="",N(T83)=0),"",V83/T83)</f>
        <v/>
      </c>
      <c r="X83" s="18"/>
      <c r="Y83" s="18"/>
    </row>
    <row r="84" customFormat="false" ht="15" hidden="false" customHeight="false" outlineLevel="0" collapsed="false">
      <c r="A84" s="18"/>
      <c r="B84" s="18"/>
      <c r="C84" s="18"/>
      <c r="D84" s="18"/>
      <c r="E84" s="18"/>
      <c r="F84" s="18"/>
      <c r="G84" s="18"/>
      <c r="H84" s="19"/>
      <c r="I84" s="18"/>
      <c r="J84" s="18"/>
      <c r="K84" s="20"/>
      <c r="L84" s="20"/>
      <c r="M84" s="20"/>
      <c r="N84" s="20"/>
      <c r="O84" s="21"/>
      <c r="P84" s="22" t="n">
        <f aca="false">IF(OR($A84="",N(K84)=0),0,CEILING(K84*(1+IF($O84="",Taux_Compta,$O84))-0.005,Pas_Arrondi))</f>
        <v>0</v>
      </c>
      <c r="Q84" s="22" t="n">
        <f aca="false">IF(OR($A84="",N(L84)=0),0,CEILING(L84*(1+IF($O84="",Taux_Paye,$O84))-0.005,Pas_Arrondi))</f>
        <v>0</v>
      </c>
      <c r="R84" s="22" t="n">
        <f aca="false">IF(OR($A84="",N(M84)=0),0,CEILING(M84*(1+IF($O84="",Taux_Jur,$O84))-0.005,Pas_Arrondi))</f>
        <v>0</v>
      </c>
      <c r="S84" s="22" t="n">
        <f aca="false">IF(OR($A84="",N(N84)=0),0,CEILING(N84*(1+IF($O84="",Taux_PA,$O84))-0.005,Pas_Arrondi))</f>
        <v>0</v>
      </c>
      <c r="T84" s="22" t="str">
        <f aca="false">IF($A84="","",SUM(K84:N84))</f>
        <v/>
      </c>
      <c r="U84" s="22" t="str">
        <f aca="false">IF($A84="","",SUM(P84:S84))</f>
        <v/>
      </c>
      <c r="V84" s="22" t="str">
        <f aca="false">IF($A84="","",U84-T84)</f>
        <v/>
      </c>
      <c r="W84" s="23" t="str">
        <f aca="false">IF(OR($A84="",N(T84)=0),"",V84/T84)</f>
        <v/>
      </c>
      <c r="X84" s="18"/>
      <c r="Y84" s="18"/>
    </row>
    <row r="85" customFormat="false" ht="15" hidden="false" customHeight="false" outlineLevel="0" collapsed="false">
      <c r="A85" s="18"/>
      <c r="B85" s="18"/>
      <c r="C85" s="18"/>
      <c r="D85" s="18"/>
      <c r="E85" s="18"/>
      <c r="F85" s="18"/>
      <c r="G85" s="18"/>
      <c r="H85" s="19"/>
      <c r="I85" s="18"/>
      <c r="J85" s="18"/>
      <c r="K85" s="20"/>
      <c r="L85" s="20"/>
      <c r="M85" s="20"/>
      <c r="N85" s="20"/>
      <c r="O85" s="21"/>
      <c r="P85" s="22" t="n">
        <f aca="false">IF(OR($A85="",N(K85)=0),0,CEILING(K85*(1+IF($O85="",Taux_Compta,$O85))-0.005,Pas_Arrondi))</f>
        <v>0</v>
      </c>
      <c r="Q85" s="22" t="n">
        <f aca="false">IF(OR($A85="",N(L85)=0),0,CEILING(L85*(1+IF($O85="",Taux_Paye,$O85))-0.005,Pas_Arrondi))</f>
        <v>0</v>
      </c>
      <c r="R85" s="22" t="n">
        <f aca="false">IF(OR($A85="",N(M85)=0),0,CEILING(M85*(1+IF($O85="",Taux_Jur,$O85))-0.005,Pas_Arrondi))</f>
        <v>0</v>
      </c>
      <c r="S85" s="22" t="n">
        <f aca="false">IF(OR($A85="",N(N85)=0),0,CEILING(N85*(1+IF($O85="",Taux_PA,$O85))-0.005,Pas_Arrondi))</f>
        <v>0</v>
      </c>
      <c r="T85" s="22" t="str">
        <f aca="false">IF($A85="","",SUM(K85:N85))</f>
        <v/>
      </c>
      <c r="U85" s="22" t="str">
        <f aca="false">IF($A85="","",SUM(P85:S85))</f>
        <v/>
      </c>
      <c r="V85" s="22" t="str">
        <f aca="false">IF($A85="","",U85-T85)</f>
        <v/>
      </c>
      <c r="W85" s="23" t="str">
        <f aca="false">IF(OR($A85="",N(T85)=0),"",V85/T85)</f>
        <v/>
      </c>
      <c r="X85" s="18"/>
      <c r="Y85" s="18"/>
    </row>
    <row r="86" customFormat="false" ht="15" hidden="false" customHeight="false" outlineLevel="0" collapsed="false">
      <c r="A86" s="18"/>
      <c r="B86" s="18"/>
      <c r="C86" s="18"/>
      <c r="D86" s="18"/>
      <c r="E86" s="18"/>
      <c r="F86" s="18"/>
      <c r="G86" s="18"/>
      <c r="H86" s="19"/>
      <c r="I86" s="18"/>
      <c r="J86" s="18"/>
      <c r="K86" s="20"/>
      <c r="L86" s="20"/>
      <c r="M86" s="20"/>
      <c r="N86" s="20"/>
      <c r="O86" s="21"/>
      <c r="P86" s="22" t="n">
        <f aca="false">IF(OR($A86="",N(K86)=0),0,CEILING(K86*(1+IF($O86="",Taux_Compta,$O86))-0.005,Pas_Arrondi))</f>
        <v>0</v>
      </c>
      <c r="Q86" s="22" t="n">
        <f aca="false">IF(OR($A86="",N(L86)=0),0,CEILING(L86*(1+IF($O86="",Taux_Paye,$O86))-0.005,Pas_Arrondi))</f>
        <v>0</v>
      </c>
      <c r="R86" s="22" t="n">
        <f aca="false">IF(OR($A86="",N(M86)=0),0,CEILING(M86*(1+IF($O86="",Taux_Jur,$O86))-0.005,Pas_Arrondi))</f>
        <v>0</v>
      </c>
      <c r="S86" s="22" t="n">
        <f aca="false">IF(OR($A86="",N(N86)=0),0,CEILING(N86*(1+IF($O86="",Taux_PA,$O86))-0.005,Pas_Arrondi))</f>
        <v>0</v>
      </c>
      <c r="T86" s="22" t="str">
        <f aca="false">IF($A86="","",SUM(K86:N86))</f>
        <v/>
      </c>
      <c r="U86" s="22" t="str">
        <f aca="false">IF($A86="","",SUM(P86:S86))</f>
        <v/>
      </c>
      <c r="V86" s="22" t="str">
        <f aca="false">IF($A86="","",U86-T86)</f>
        <v/>
      </c>
      <c r="W86" s="23" t="str">
        <f aca="false">IF(OR($A86="",N(T86)=0),"",V86/T86)</f>
        <v/>
      </c>
      <c r="X86" s="18"/>
      <c r="Y86" s="18"/>
    </row>
    <row r="87" customFormat="false" ht="15" hidden="false" customHeight="false" outlineLevel="0" collapsed="false">
      <c r="A87" s="18"/>
      <c r="B87" s="18"/>
      <c r="C87" s="18"/>
      <c r="D87" s="18"/>
      <c r="E87" s="18"/>
      <c r="F87" s="18"/>
      <c r="G87" s="18"/>
      <c r="H87" s="19"/>
      <c r="I87" s="18"/>
      <c r="J87" s="18"/>
      <c r="K87" s="20"/>
      <c r="L87" s="20"/>
      <c r="M87" s="20"/>
      <c r="N87" s="20"/>
      <c r="O87" s="21"/>
      <c r="P87" s="22" t="n">
        <f aca="false">IF(OR($A87="",N(K87)=0),0,CEILING(K87*(1+IF($O87="",Taux_Compta,$O87))-0.005,Pas_Arrondi))</f>
        <v>0</v>
      </c>
      <c r="Q87" s="22" t="n">
        <f aca="false">IF(OR($A87="",N(L87)=0),0,CEILING(L87*(1+IF($O87="",Taux_Paye,$O87))-0.005,Pas_Arrondi))</f>
        <v>0</v>
      </c>
      <c r="R87" s="22" t="n">
        <f aca="false">IF(OR($A87="",N(M87)=0),0,CEILING(M87*(1+IF($O87="",Taux_Jur,$O87))-0.005,Pas_Arrondi))</f>
        <v>0</v>
      </c>
      <c r="S87" s="22" t="n">
        <f aca="false">IF(OR($A87="",N(N87)=0),0,CEILING(N87*(1+IF($O87="",Taux_PA,$O87))-0.005,Pas_Arrondi))</f>
        <v>0</v>
      </c>
      <c r="T87" s="22" t="str">
        <f aca="false">IF($A87="","",SUM(K87:N87))</f>
        <v/>
      </c>
      <c r="U87" s="22" t="str">
        <f aca="false">IF($A87="","",SUM(P87:S87))</f>
        <v/>
      </c>
      <c r="V87" s="22" t="str">
        <f aca="false">IF($A87="","",U87-T87)</f>
        <v/>
      </c>
      <c r="W87" s="23" t="str">
        <f aca="false">IF(OR($A87="",N(T87)=0),"",V87/T87)</f>
        <v/>
      </c>
      <c r="X87" s="18"/>
      <c r="Y87" s="18"/>
    </row>
    <row r="88" customFormat="false" ht="15" hidden="false" customHeight="false" outlineLevel="0" collapsed="false">
      <c r="A88" s="18"/>
      <c r="B88" s="18"/>
      <c r="C88" s="18"/>
      <c r="D88" s="18"/>
      <c r="E88" s="18"/>
      <c r="F88" s="18"/>
      <c r="G88" s="18"/>
      <c r="H88" s="19"/>
      <c r="I88" s="18"/>
      <c r="J88" s="18"/>
      <c r="K88" s="20"/>
      <c r="L88" s="20"/>
      <c r="M88" s="20"/>
      <c r="N88" s="20"/>
      <c r="O88" s="21"/>
      <c r="P88" s="22" t="n">
        <f aca="false">IF(OR($A88="",N(K88)=0),0,CEILING(K88*(1+IF($O88="",Taux_Compta,$O88))-0.005,Pas_Arrondi))</f>
        <v>0</v>
      </c>
      <c r="Q88" s="22" t="n">
        <f aca="false">IF(OR($A88="",N(L88)=0),0,CEILING(L88*(1+IF($O88="",Taux_Paye,$O88))-0.005,Pas_Arrondi))</f>
        <v>0</v>
      </c>
      <c r="R88" s="22" t="n">
        <f aca="false">IF(OR($A88="",N(M88)=0),0,CEILING(M88*(1+IF($O88="",Taux_Jur,$O88))-0.005,Pas_Arrondi))</f>
        <v>0</v>
      </c>
      <c r="S88" s="22" t="n">
        <f aca="false">IF(OR($A88="",N(N88)=0),0,CEILING(N88*(1+IF($O88="",Taux_PA,$O88))-0.005,Pas_Arrondi))</f>
        <v>0</v>
      </c>
      <c r="T88" s="22" t="str">
        <f aca="false">IF($A88="","",SUM(K88:N88))</f>
        <v/>
      </c>
      <c r="U88" s="22" t="str">
        <f aca="false">IF($A88="","",SUM(P88:S88))</f>
        <v/>
      </c>
      <c r="V88" s="22" t="str">
        <f aca="false">IF($A88="","",U88-T88)</f>
        <v/>
      </c>
      <c r="W88" s="23" t="str">
        <f aca="false">IF(OR($A88="",N(T88)=0),"",V88/T88)</f>
        <v/>
      </c>
      <c r="X88" s="18"/>
      <c r="Y88" s="18"/>
    </row>
    <row r="89" customFormat="false" ht="15" hidden="false" customHeight="false" outlineLevel="0" collapsed="false">
      <c r="A89" s="18"/>
      <c r="B89" s="18"/>
      <c r="C89" s="18"/>
      <c r="D89" s="18"/>
      <c r="E89" s="18"/>
      <c r="F89" s="18"/>
      <c r="G89" s="18"/>
      <c r="H89" s="19"/>
      <c r="I89" s="18"/>
      <c r="J89" s="18"/>
      <c r="K89" s="20"/>
      <c r="L89" s="20"/>
      <c r="M89" s="20"/>
      <c r="N89" s="20"/>
      <c r="O89" s="21"/>
      <c r="P89" s="22" t="n">
        <f aca="false">IF(OR($A89="",N(K89)=0),0,CEILING(K89*(1+IF($O89="",Taux_Compta,$O89))-0.005,Pas_Arrondi))</f>
        <v>0</v>
      </c>
      <c r="Q89" s="22" t="n">
        <f aca="false">IF(OR($A89="",N(L89)=0),0,CEILING(L89*(1+IF($O89="",Taux_Paye,$O89))-0.005,Pas_Arrondi))</f>
        <v>0</v>
      </c>
      <c r="R89" s="22" t="n">
        <f aca="false">IF(OR($A89="",N(M89)=0),0,CEILING(M89*(1+IF($O89="",Taux_Jur,$O89))-0.005,Pas_Arrondi))</f>
        <v>0</v>
      </c>
      <c r="S89" s="22" t="n">
        <f aca="false">IF(OR($A89="",N(N89)=0),0,CEILING(N89*(1+IF($O89="",Taux_PA,$O89))-0.005,Pas_Arrondi))</f>
        <v>0</v>
      </c>
      <c r="T89" s="22" t="str">
        <f aca="false">IF($A89="","",SUM(K89:N89))</f>
        <v/>
      </c>
      <c r="U89" s="22" t="str">
        <f aca="false">IF($A89="","",SUM(P89:S89))</f>
        <v/>
      </c>
      <c r="V89" s="22" t="str">
        <f aca="false">IF($A89="","",U89-T89)</f>
        <v/>
      </c>
      <c r="W89" s="23" t="str">
        <f aca="false">IF(OR($A89="",N(T89)=0),"",V89/T89)</f>
        <v/>
      </c>
      <c r="X89" s="18"/>
      <c r="Y89" s="18"/>
    </row>
    <row r="90" customFormat="false" ht="15" hidden="false" customHeight="false" outlineLevel="0" collapsed="false">
      <c r="A90" s="18"/>
      <c r="B90" s="18"/>
      <c r="C90" s="18"/>
      <c r="D90" s="18"/>
      <c r="E90" s="18"/>
      <c r="F90" s="18"/>
      <c r="G90" s="18"/>
      <c r="H90" s="19"/>
      <c r="I90" s="18"/>
      <c r="J90" s="18"/>
      <c r="K90" s="20"/>
      <c r="L90" s="20"/>
      <c r="M90" s="20"/>
      <c r="N90" s="20"/>
      <c r="O90" s="21"/>
      <c r="P90" s="22" t="n">
        <f aca="false">IF(OR($A90="",N(K90)=0),0,CEILING(K90*(1+IF($O90="",Taux_Compta,$O90))-0.005,Pas_Arrondi))</f>
        <v>0</v>
      </c>
      <c r="Q90" s="22" t="n">
        <f aca="false">IF(OR($A90="",N(L90)=0),0,CEILING(L90*(1+IF($O90="",Taux_Paye,$O90))-0.005,Pas_Arrondi))</f>
        <v>0</v>
      </c>
      <c r="R90" s="22" t="n">
        <f aca="false">IF(OR($A90="",N(M90)=0),0,CEILING(M90*(1+IF($O90="",Taux_Jur,$O90))-0.005,Pas_Arrondi))</f>
        <v>0</v>
      </c>
      <c r="S90" s="22" t="n">
        <f aca="false">IF(OR($A90="",N(N90)=0),0,CEILING(N90*(1+IF($O90="",Taux_PA,$O90))-0.005,Pas_Arrondi))</f>
        <v>0</v>
      </c>
      <c r="T90" s="22" t="str">
        <f aca="false">IF($A90="","",SUM(K90:N90))</f>
        <v/>
      </c>
      <c r="U90" s="22" t="str">
        <f aca="false">IF($A90="","",SUM(P90:S90))</f>
        <v/>
      </c>
      <c r="V90" s="22" t="str">
        <f aca="false">IF($A90="","",U90-T90)</f>
        <v/>
      </c>
      <c r="W90" s="23" t="str">
        <f aca="false">IF(OR($A90="",N(T90)=0),"",V90/T90)</f>
        <v/>
      </c>
      <c r="X90" s="18"/>
      <c r="Y90" s="18"/>
    </row>
    <row r="91" customFormat="false" ht="15" hidden="false" customHeight="false" outlineLevel="0" collapsed="false">
      <c r="A91" s="18"/>
      <c r="B91" s="18"/>
      <c r="C91" s="18"/>
      <c r="D91" s="18"/>
      <c r="E91" s="18"/>
      <c r="F91" s="18"/>
      <c r="G91" s="18"/>
      <c r="H91" s="19"/>
      <c r="I91" s="18"/>
      <c r="J91" s="18"/>
      <c r="K91" s="20"/>
      <c r="L91" s="20"/>
      <c r="M91" s="20"/>
      <c r="N91" s="20"/>
      <c r="O91" s="21"/>
      <c r="P91" s="22" t="n">
        <f aca="false">IF(OR($A91="",N(K91)=0),0,CEILING(K91*(1+IF($O91="",Taux_Compta,$O91))-0.005,Pas_Arrondi))</f>
        <v>0</v>
      </c>
      <c r="Q91" s="22" t="n">
        <f aca="false">IF(OR($A91="",N(L91)=0),0,CEILING(L91*(1+IF($O91="",Taux_Paye,$O91))-0.005,Pas_Arrondi))</f>
        <v>0</v>
      </c>
      <c r="R91" s="22" t="n">
        <f aca="false">IF(OR($A91="",N(M91)=0),0,CEILING(M91*(1+IF($O91="",Taux_Jur,$O91))-0.005,Pas_Arrondi))</f>
        <v>0</v>
      </c>
      <c r="S91" s="22" t="n">
        <f aca="false">IF(OR($A91="",N(N91)=0),0,CEILING(N91*(1+IF($O91="",Taux_PA,$O91))-0.005,Pas_Arrondi))</f>
        <v>0</v>
      </c>
      <c r="T91" s="22" t="str">
        <f aca="false">IF($A91="","",SUM(K91:N91))</f>
        <v/>
      </c>
      <c r="U91" s="22" t="str">
        <f aca="false">IF($A91="","",SUM(P91:S91))</f>
        <v/>
      </c>
      <c r="V91" s="22" t="str">
        <f aca="false">IF($A91="","",U91-T91)</f>
        <v/>
      </c>
      <c r="W91" s="23" t="str">
        <f aca="false">IF(OR($A91="",N(T91)=0),"",V91/T91)</f>
        <v/>
      </c>
      <c r="X91" s="18"/>
      <c r="Y91" s="18"/>
    </row>
    <row r="92" customFormat="false" ht="15" hidden="false" customHeight="false" outlineLevel="0" collapsed="false">
      <c r="A92" s="18"/>
      <c r="B92" s="18"/>
      <c r="C92" s="18"/>
      <c r="D92" s="18"/>
      <c r="E92" s="18"/>
      <c r="F92" s="18"/>
      <c r="G92" s="18"/>
      <c r="H92" s="19"/>
      <c r="I92" s="18"/>
      <c r="J92" s="18"/>
      <c r="K92" s="20"/>
      <c r="L92" s="20"/>
      <c r="M92" s="20"/>
      <c r="N92" s="20"/>
      <c r="O92" s="21"/>
      <c r="P92" s="22" t="n">
        <f aca="false">IF(OR($A92="",N(K92)=0),0,CEILING(K92*(1+IF($O92="",Taux_Compta,$O92))-0.005,Pas_Arrondi))</f>
        <v>0</v>
      </c>
      <c r="Q92" s="22" t="n">
        <f aca="false">IF(OR($A92="",N(L92)=0),0,CEILING(L92*(1+IF($O92="",Taux_Paye,$O92))-0.005,Pas_Arrondi))</f>
        <v>0</v>
      </c>
      <c r="R92" s="22" t="n">
        <f aca="false">IF(OR($A92="",N(M92)=0),0,CEILING(M92*(1+IF($O92="",Taux_Jur,$O92))-0.005,Pas_Arrondi))</f>
        <v>0</v>
      </c>
      <c r="S92" s="22" t="n">
        <f aca="false">IF(OR($A92="",N(N92)=0),0,CEILING(N92*(1+IF($O92="",Taux_PA,$O92))-0.005,Pas_Arrondi))</f>
        <v>0</v>
      </c>
      <c r="T92" s="22" t="str">
        <f aca="false">IF($A92="","",SUM(K92:N92))</f>
        <v/>
      </c>
      <c r="U92" s="22" t="str">
        <f aca="false">IF($A92="","",SUM(P92:S92))</f>
        <v/>
      </c>
      <c r="V92" s="22" t="str">
        <f aca="false">IF($A92="","",U92-T92)</f>
        <v/>
      </c>
      <c r="W92" s="23" t="str">
        <f aca="false">IF(OR($A92="",N(T92)=0),"",V92/T92)</f>
        <v/>
      </c>
      <c r="X92" s="18"/>
      <c r="Y92" s="18"/>
    </row>
    <row r="93" customFormat="false" ht="15" hidden="false" customHeight="false" outlineLevel="0" collapsed="false">
      <c r="A93" s="18"/>
      <c r="B93" s="18"/>
      <c r="C93" s="18"/>
      <c r="D93" s="18"/>
      <c r="E93" s="18"/>
      <c r="F93" s="18"/>
      <c r="G93" s="18"/>
      <c r="H93" s="19"/>
      <c r="I93" s="18"/>
      <c r="J93" s="18"/>
      <c r="K93" s="20"/>
      <c r="L93" s="20"/>
      <c r="M93" s="20"/>
      <c r="N93" s="20"/>
      <c r="O93" s="21"/>
      <c r="P93" s="22" t="n">
        <f aca="false">IF(OR($A93="",N(K93)=0),0,CEILING(K93*(1+IF($O93="",Taux_Compta,$O93))-0.005,Pas_Arrondi))</f>
        <v>0</v>
      </c>
      <c r="Q93" s="22" t="n">
        <f aca="false">IF(OR($A93="",N(L93)=0),0,CEILING(L93*(1+IF($O93="",Taux_Paye,$O93))-0.005,Pas_Arrondi))</f>
        <v>0</v>
      </c>
      <c r="R93" s="22" t="n">
        <f aca="false">IF(OR($A93="",N(M93)=0),0,CEILING(M93*(1+IF($O93="",Taux_Jur,$O93))-0.005,Pas_Arrondi))</f>
        <v>0</v>
      </c>
      <c r="S93" s="22" t="n">
        <f aca="false">IF(OR($A93="",N(N93)=0),0,CEILING(N93*(1+IF($O93="",Taux_PA,$O93))-0.005,Pas_Arrondi))</f>
        <v>0</v>
      </c>
      <c r="T93" s="22" t="str">
        <f aca="false">IF($A93="","",SUM(K93:N93))</f>
        <v/>
      </c>
      <c r="U93" s="22" t="str">
        <f aca="false">IF($A93="","",SUM(P93:S93))</f>
        <v/>
      </c>
      <c r="V93" s="22" t="str">
        <f aca="false">IF($A93="","",U93-T93)</f>
        <v/>
      </c>
      <c r="W93" s="23" t="str">
        <f aca="false">IF(OR($A93="",N(T93)=0),"",V93/T93)</f>
        <v/>
      </c>
      <c r="X93" s="18"/>
      <c r="Y93" s="18"/>
    </row>
    <row r="94" customFormat="false" ht="15" hidden="false" customHeight="false" outlineLevel="0" collapsed="false">
      <c r="A94" s="18"/>
      <c r="B94" s="18"/>
      <c r="C94" s="18"/>
      <c r="D94" s="18"/>
      <c r="E94" s="18"/>
      <c r="F94" s="18"/>
      <c r="G94" s="18"/>
      <c r="H94" s="19"/>
      <c r="I94" s="18"/>
      <c r="J94" s="18"/>
      <c r="K94" s="20"/>
      <c r="L94" s="20"/>
      <c r="M94" s="20"/>
      <c r="N94" s="20"/>
      <c r="O94" s="21"/>
      <c r="P94" s="22" t="n">
        <f aca="false">IF(OR($A94="",N(K94)=0),0,CEILING(K94*(1+IF($O94="",Taux_Compta,$O94))-0.005,Pas_Arrondi))</f>
        <v>0</v>
      </c>
      <c r="Q94" s="22" t="n">
        <f aca="false">IF(OR($A94="",N(L94)=0),0,CEILING(L94*(1+IF($O94="",Taux_Paye,$O94))-0.005,Pas_Arrondi))</f>
        <v>0</v>
      </c>
      <c r="R94" s="22" t="n">
        <f aca="false">IF(OR($A94="",N(M94)=0),0,CEILING(M94*(1+IF($O94="",Taux_Jur,$O94))-0.005,Pas_Arrondi))</f>
        <v>0</v>
      </c>
      <c r="S94" s="22" t="n">
        <f aca="false">IF(OR($A94="",N(N94)=0),0,CEILING(N94*(1+IF($O94="",Taux_PA,$O94))-0.005,Pas_Arrondi))</f>
        <v>0</v>
      </c>
      <c r="T94" s="22" t="str">
        <f aca="false">IF($A94="","",SUM(K94:N94))</f>
        <v/>
      </c>
      <c r="U94" s="22" t="str">
        <f aca="false">IF($A94="","",SUM(P94:S94))</f>
        <v/>
      </c>
      <c r="V94" s="22" t="str">
        <f aca="false">IF($A94="","",U94-T94)</f>
        <v/>
      </c>
      <c r="W94" s="23" t="str">
        <f aca="false">IF(OR($A94="",N(T94)=0),"",V94/T94)</f>
        <v/>
      </c>
      <c r="X94" s="18"/>
      <c r="Y94" s="18"/>
    </row>
    <row r="95" customFormat="false" ht="15" hidden="false" customHeight="false" outlineLevel="0" collapsed="false">
      <c r="A95" s="18"/>
      <c r="B95" s="18"/>
      <c r="C95" s="18"/>
      <c r="D95" s="18"/>
      <c r="E95" s="18"/>
      <c r="F95" s="18"/>
      <c r="G95" s="18"/>
      <c r="H95" s="19"/>
      <c r="I95" s="18"/>
      <c r="J95" s="18"/>
      <c r="K95" s="20"/>
      <c r="L95" s="20"/>
      <c r="M95" s="20"/>
      <c r="N95" s="20"/>
      <c r="O95" s="21"/>
      <c r="P95" s="22" t="n">
        <f aca="false">IF(OR($A95="",N(K95)=0),0,CEILING(K95*(1+IF($O95="",Taux_Compta,$O95))-0.005,Pas_Arrondi))</f>
        <v>0</v>
      </c>
      <c r="Q95" s="22" t="n">
        <f aca="false">IF(OR($A95="",N(L95)=0),0,CEILING(L95*(1+IF($O95="",Taux_Paye,$O95))-0.005,Pas_Arrondi))</f>
        <v>0</v>
      </c>
      <c r="R95" s="22" t="n">
        <f aca="false">IF(OR($A95="",N(M95)=0),0,CEILING(M95*(1+IF($O95="",Taux_Jur,$O95))-0.005,Pas_Arrondi))</f>
        <v>0</v>
      </c>
      <c r="S95" s="22" t="n">
        <f aca="false">IF(OR($A95="",N(N95)=0),0,CEILING(N95*(1+IF($O95="",Taux_PA,$O95))-0.005,Pas_Arrondi))</f>
        <v>0</v>
      </c>
      <c r="T95" s="22" t="str">
        <f aca="false">IF($A95="","",SUM(K95:N95))</f>
        <v/>
      </c>
      <c r="U95" s="22" t="str">
        <f aca="false">IF($A95="","",SUM(P95:S95))</f>
        <v/>
      </c>
      <c r="V95" s="22" t="str">
        <f aca="false">IF($A95="","",U95-T95)</f>
        <v/>
      </c>
      <c r="W95" s="23" t="str">
        <f aca="false">IF(OR($A95="",N(T95)=0),"",V95/T95)</f>
        <v/>
      </c>
      <c r="X95" s="18"/>
      <c r="Y95" s="18"/>
    </row>
    <row r="96" customFormat="false" ht="15" hidden="false" customHeight="false" outlineLevel="0" collapsed="false">
      <c r="A96" s="18"/>
      <c r="B96" s="18"/>
      <c r="C96" s="18"/>
      <c r="D96" s="18"/>
      <c r="E96" s="18"/>
      <c r="F96" s="18"/>
      <c r="G96" s="18"/>
      <c r="H96" s="19"/>
      <c r="I96" s="18"/>
      <c r="J96" s="18"/>
      <c r="K96" s="20"/>
      <c r="L96" s="20"/>
      <c r="M96" s="20"/>
      <c r="N96" s="20"/>
      <c r="O96" s="21"/>
      <c r="P96" s="22" t="n">
        <f aca="false">IF(OR($A96="",N(K96)=0),0,CEILING(K96*(1+IF($O96="",Taux_Compta,$O96))-0.005,Pas_Arrondi))</f>
        <v>0</v>
      </c>
      <c r="Q96" s="22" t="n">
        <f aca="false">IF(OR($A96="",N(L96)=0),0,CEILING(L96*(1+IF($O96="",Taux_Paye,$O96))-0.005,Pas_Arrondi))</f>
        <v>0</v>
      </c>
      <c r="R96" s="22" t="n">
        <f aca="false">IF(OR($A96="",N(M96)=0),0,CEILING(M96*(1+IF($O96="",Taux_Jur,$O96))-0.005,Pas_Arrondi))</f>
        <v>0</v>
      </c>
      <c r="S96" s="22" t="n">
        <f aca="false">IF(OR($A96="",N(N96)=0),0,CEILING(N96*(1+IF($O96="",Taux_PA,$O96))-0.005,Pas_Arrondi))</f>
        <v>0</v>
      </c>
      <c r="T96" s="22" t="str">
        <f aca="false">IF($A96="","",SUM(K96:N96))</f>
        <v/>
      </c>
      <c r="U96" s="22" t="str">
        <f aca="false">IF($A96="","",SUM(P96:S96))</f>
        <v/>
      </c>
      <c r="V96" s="22" t="str">
        <f aca="false">IF($A96="","",U96-T96)</f>
        <v/>
      </c>
      <c r="W96" s="23" t="str">
        <f aca="false">IF(OR($A96="",N(T96)=0),"",V96/T96)</f>
        <v/>
      </c>
      <c r="X96" s="18"/>
      <c r="Y96" s="18"/>
    </row>
    <row r="97" customFormat="false" ht="15" hidden="false" customHeight="false" outlineLevel="0" collapsed="false">
      <c r="A97" s="18"/>
      <c r="B97" s="18"/>
      <c r="C97" s="18"/>
      <c r="D97" s="18"/>
      <c r="E97" s="18"/>
      <c r="F97" s="18"/>
      <c r="G97" s="18"/>
      <c r="H97" s="19"/>
      <c r="I97" s="18"/>
      <c r="J97" s="18"/>
      <c r="K97" s="20"/>
      <c r="L97" s="20"/>
      <c r="M97" s="20"/>
      <c r="N97" s="20"/>
      <c r="O97" s="21"/>
      <c r="P97" s="22" t="n">
        <f aca="false">IF(OR($A97="",N(K97)=0),0,CEILING(K97*(1+IF($O97="",Taux_Compta,$O97))-0.005,Pas_Arrondi))</f>
        <v>0</v>
      </c>
      <c r="Q97" s="22" t="n">
        <f aca="false">IF(OR($A97="",N(L97)=0),0,CEILING(L97*(1+IF($O97="",Taux_Paye,$O97))-0.005,Pas_Arrondi))</f>
        <v>0</v>
      </c>
      <c r="R97" s="22" t="n">
        <f aca="false">IF(OR($A97="",N(M97)=0),0,CEILING(M97*(1+IF($O97="",Taux_Jur,$O97))-0.005,Pas_Arrondi))</f>
        <v>0</v>
      </c>
      <c r="S97" s="22" t="n">
        <f aca="false">IF(OR($A97="",N(N97)=0),0,CEILING(N97*(1+IF($O97="",Taux_PA,$O97))-0.005,Pas_Arrondi))</f>
        <v>0</v>
      </c>
      <c r="T97" s="22" t="str">
        <f aca="false">IF($A97="","",SUM(K97:N97))</f>
        <v/>
      </c>
      <c r="U97" s="22" t="str">
        <f aca="false">IF($A97="","",SUM(P97:S97))</f>
        <v/>
      </c>
      <c r="V97" s="22" t="str">
        <f aca="false">IF($A97="","",U97-T97)</f>
        <v/>
      </c>
      <c r="W97" s="23" t="str">
        <f aca="false">IF(OR($A97="",N(T97)=0),"",V97/T97)</f>
        <v/>
      </c>
      <c r="X97" s="18"/>
      <c r="Y97" s="18"/>
    </row>
    <row r="98" customFormat="false" ht="15" hidden="false" customHeight="false" outlineLevel="0" collapsed="false">
      <c r="A98" s="18"/>
      <c r="B98" s="18"/>
      <c r="C98" s="18"/>
      <c r="D98" s="18"/>
      <c r="E98" s="18"/>
      <c r="F98" s="18"/>
      <c r="G98" s="18"/>
      <c r="H98" s="19"/>
      <c r="I98" s="18"/>
      <c r="J98" s="18"/>
      <c r="K98" s="20"/>
      <c r="L98" s="20"/>
      <c r="M98" s="20"/>
      <c r="N98" s="20"/>
      <c r="O98" s="21"/>
      <c r="P98" s="22" t="n">
        <f aca="false">IF(OR($A98="",N(K98)=0),0,CEILING(K98*(1+IF($O98="",Taux_Compta,$O98))-0.005,Pas_Arrondi))</f>
        <v>0</v>
      </c>
      <c r="Q98" s="22" t="n">
        <f aca="false">IF(OR($A98="",N(L98)=0),0,CEILING(L98*(1+IF($O98="",Taux_Paye,$O98))-0.005,Pas_Arrondi))</f>
        <v>0</v>
      </c>
      <c r="R98" s="22" t="n">
        <f aca="false">IF(OR($A98="",N(M98)=0),0,CEILING(M98*(1+IF($O98="",Taux_Jur,$O98))-0.005,Pas_Arrondi))</f>
        <v>0</v>
      </c>
      <c r="S98" s="22" t="n">
        <f aca="false">IF(OR($A98="",N(N98)=0),0,CEILING(N98*(1+IF($O98="",Taux_PA,$O98))-0.005,Pas_Arrondi))</f>
        <v>0</v>
      </c>
      <c r="T98" s="22" t="str">
        <f aca="false">IF($A98="","",SUM(K98:N98))</f>
        <v/>
      </c>
      <c r="U98" s="22" t="str">
        <f aca="false">IF($A98="","",SUM(P98:S98))</f>
        <v/>
      </c>
      <c r="V98" s="22" t="str">
        <f aca="false">IF($A98="","",U98-T98)</f>
        <v/>
      </c>
      <c r="W98" s="23" t="str">
        <f aca="false">IF(OR($A98="",N(T98)=0),"",V98/T98)</f>
        <v/>
      </c>
      <c r="X98" s="18"/>
      <c r="Y98" s="18"/>
    </row>
    <row r="99" customFormat="false" ht="15" hidden="false" customHeight="false" outlineLevel="0" collapsed="false">
      <c r="A99" s="18"/>
      <c r="B99" s="18"/>
      <c r="C99" s="18"/>
      <c r="D99" s="18"/>
      <c r="E99" s="18"/>
      <c r="F99" s="18"/>
      <c r="G99" s="18"/>
      <c r="H99" s="19"/>
      <c r="I99" s="18"/>
      <c r="J99" s="18"/>
      <c r="K99" s="20"/>
      <c r="L99" s="20"/>
      <c r="M99" s="20"/>
      <c r="N99" s="20"/>
      <c r="O99" s="21"/>
      <c r="P99" s="22" t="n">
        <f aca="false">IF(OR($A99="",N(K99)=0),0,CEILING(K99*(1+IF($O99="",Taux_Compta,$O99))-0.005,Pas_Arrondi))</f>
        <v>0</v>
      </c>
      <c r="Q99" s="22" t="n">
        <f aca="false">IF(OR($A99="",N(L99)=0),0,CEILING(L99*(1+IF($O99="",Taux_Paye,$O99))-0.005,Pas_Arrondi))</f>
        <v>0</v>
      </c>
      <c r="R99" s="22" t="n">
        <f aca="false">IF(OR($A99="",N(M99)=0),0,CEILING(M99*(1+IF($O99="",Taux_Jur,$O99))-0.005,Pas_Arrondi))</f>
        <v>0</v>
      </c>
      <c r="S99" s="22" t="n">
        <f aca="false">IF(OR($A99="",N(N99)=0),0,CEILING(N99*(1+IF($O99="",Taux_PA,$O99))-0.005,Pas_Arrondi))</f>
        <v>0</v>
      </c>
      <c r="T99" s="22" t="str">
        <f aca="false">IF($A99="","",SUM(K99:N99))</f>
        <v/>
      </c>
      <c r="U99" s="22" t="str">
        <f aca="false">IF($A99="","",SUM(P99:S99))</f>
        <v/>
      </c>
      <c r="V99" s="22" t="str">
        <f aca="false">IF($A99="","",U99-T99)</f>
        <v/>
      </c>
      <c r="W99" s="23" t="str">
        <f aca="false">IF(OR($A99="",N(T99)=0),"",V99/T99)</f>
        <v/>
      </c>
      <c r="X99" s="18"/>
      <c r="Y99" s="18"/>
    </row>
    <row r="100" customFormat="false" ht="15" hidden="false" customHeight="false" outlineLevel="0" collapsed="false">
      <c r="A100" s="18"/>
      <c r="B100" s="18"/>
      <c r="C100" s="18"/>
      <c r="D100" s="18"/>
      <c r="E100" s="18"/>
      <c r="F100" s="18"/>
      <c r="G100" s="18"/>
      <c r="H100" s="19"/>
      <c r="I100" s="18"/>
      <c r="J100" s="18"/>
      <c r="K100" s="20"/>
      <c r="L100" s="20"/>
      <c r="M100" s="20"/>
      <c r="N100" s="20"/>
      <c r="O100" s="21"/>
      <c r="P100" s="22" t="n">
        <f aca="false">IF(OR($A100="",N(K100)=0),0,CEILING(K100*(1+IF($O100="",Taux_Compta,$O100))-0.005,Pas_Arrondi))</f>
        <v>0</v>
      </c>
      <c r="Q100" s="22" t="n">
        <f aca="false">IF(OR($A100="",N(L100)=0),0,CEILING(L100*(1+IF($O100="",Taux_Paye,$O100))-0.005,Pas_Arrondi))</f>
        <v>0</v>
      </c>
      <c r="R100" s="22" t="n">
        <f aca="false">IF(OR($A100="",N(M100)=0),0,CEILING(M100*(1+IF($O100="",Taux_Jur,$O100))-0.005,Pas_Arrondi))</f>
        <v>0</v>
      </c>
      <c r="S100" s="22" t="n">
        <f aca="false">IF(OR($A100="",N(N100)=0),0,CEILING(N100*(1+IF($O100="",Taux_PA,$O100))-0.005,Pas_Arrondi))</f>
        <v>0</v>
      </c>
      <c r="T100" s="22" t="str">
        <f aca="false">IF($A100="","",SUM(K100:N100))</f>
        <v/>
      </c>
      <c r="U100" s="22" t="str">
        <f aca="false">IF($A100="","",SUM(P100:S100))</f>
        <v/>
      </c>
      <c r="V100" s="22" t="str">
        <f aca="false">IF($A100="","",U100-T100)</f>
        <v/>
      </c>
      <c r="W100" s="23" t="str">
        <f aca="false">IF(OR($A100="",N(T100)=0),"",V100/T100)</f>
        <v/>
      </c>
      <c r="X100" s="18"/>
      <c r="Y100" s="18"/>
    </row>
    <row r="101" customFormat="false" ht="15" hidden="false" customHeight="false" outlineLevel="0" collapsed="false">
      <c r="A101" s="18"/>
      <c r="B101" s="18"/>
      <c r="C101" s="18"/>
      <c r="D101" s="18"/>
      <c r="E101" s="18"/>
      <c r="F101" s="18"/>
      <c r="G101" s="18"/>
      <c r="H101" s="19"/>
      <c r="I101" s="18"/>
      <c r="J101" s="18"/>
      <c r="K101" s="20"/>
      <c r="L101" s="20"/>
      <c r="M101" s="20"/>
      <c r="N101" s="20"/>
      <c r="O101" s="21"/>
      <c r="P101" s="22" t="n">
        <f aca="false">IF(OR($A101="",N(K101)=0),0,CEILING(K101*(1+IF($O101="",Taux_Compta,$O101))-0.005,Pas_Arrondi))</f>
        <v>0</v>
      </c>
      <c r="Q101" s="22" t="n">
        <f aca="false">IF(OR($A101="",N(L101)=0),0,CEILING(L101*(1+IF($O101="",Taux_Paye,$O101))-0.005,Pas_Arrondi))</f>
        <v>0</v>
      </c>
      <c r="R101" s="22" t="n">
        <f aca="false">IF(OR($A101="",N(M101)=0),0,CEILING(M101*(1+IF($O101="",Taux_Jur,$O101))-0.005,Pas_Arrondi))</f>
        <v>0</v>
      </c>
      <c r="S101" s="22" t="n">
        <f aca="false">IF(OR($A101="",N(N101)=0),0,CEILING(N101*(1+IF($O101="",Taux_PA,$O101))-0.005,Pas_Arrondi))</f>
        <v>0</v>
      </c>
      <c r="T101" s="22" t="str">
        <f aca="false">IF($A101="","",SUM(K101:N101))</f>
        <v/>
      </c>
      <c r="U101" s="22" t="str">
        <f aca="false">IF($A101="","",SUM(P101:S101))</f>
        <v/>
      </c>
      <c r="V101" s="22" t="str">
        <f aca="false">IF($A101="","",U101-T101)</f>
        <v/>
      </c>
      <c r="W101" s="23" t="str">
        <f aca="false">IF(OR($A101="",N(T101)=0),"",V101/T101)</f>
        <v/>
      </c>
      <c r="X101" s="18"/>
      <c r="Y101" s="18"/>
    </row>
    <row r="102" customFormat="false" ht="15" hidden="false" customHeight="false" outlineLevel="0" collapsed="false">
      <c r="A102" s="18"/>
      <c r="B102" s="18"/>
      <c r="C102" s="18"/>
      <c r="D102" s="18"/>
      <c r="E102" s="18"/>
      <c r="F102" s="18"/>
      <c r="G102" s="18"/>
      <c r="H102" s="19"/>
      <c r="I102" s="18"/>
      <c r="J102" s="18"/>
      <c r="K102" s="20"/>
      <c r="L102" s="20"/>
      <c r="M102" s="20"/>
      <c r="N102" s="20"/>
      <c r="O102" s="21"/>
      <c r="P102" s="22" t="n">
        <f aca="false">IF(OR($A102="",N(K102)=0),0,CEILING(K102*(1+IF($O102="",Taux_Compta,$O102))-0.005,Pas_Arrondi))</f>
        <v>0</v>
      </c>
      <c r="Q102" s="22" t="n">
        <f aca="false">IF(OR($A102="",N(L102)=0),0,CEILING(L102*(1+IF($O102="",Taux_Paye,$O102))-0.005,Pas_Arrondi))</f>
        <v>0</v>
      </c>
      <c r="R102" s="22" t="n">
        <f aca="false">IF(OR($A102="",N(M102)=0),0,CEILING(M102*(1+IF($O102="",Taux_Jur,$O102))-0.005,Pas_Arrondi))</f>
        <v>0</v>
      </c>
      <c r="S102" s="22" t="n">
        <f aca="false">IF(OR($A102="",N(N102)=0),0,CEILING(N102*(1+IF($O102="",Taux_PA,$O102))-0.005,Pas_Arrondi))</f>
        <v>0</v>
      </c>
      <c r="T102" s="22" t="str">
        <f aca="false">IF($A102="","",SUM(K102:N102))</f>
        <v/>
      </c>
      <c r="U102" s="22" t="str">
        <f aca="false">IF($A102="","",SUM(P102:S102))</f>
        <v/>
      </c>
      <c r="V102" s="22" t="str">
        <f aca="false">IF($A102="","",U102-T102)</f>
        <v/>
      </c>
      <c r="W102" s="23" t="str">
        <f aca="false">IF(OR($A102="",N(T102)=0),"",V102/T102)</f>
        <v/>
      </c>
      <c r="X102" s="18"/>
      <c r="Y102" s="18"/>
    </row>
    <row r="103" customFormat="false" ht="15" hidden="false" customHeight="false" outlineLevel="0" collapsed="false">
      <c r="A103" s="18"/>
      <c r="B103" s="18"/>
      <c r="C103" s="18"/>
      <c r="D103" s="18"/>
      <c r="E103" s="18"/>
      <c r="F103" s="18"/>
      <c r="G103" s="18"/>
      <c r="H103" s="19"/>
      <c r="I103" s="18"/>
      <c r="J103" s="18"/>
      <c r="K103" s="20"/>
      <c r="L103" s="20"/>
      <c r="M103" s="20"/>
      <c r="N103" s="20"/>
      <c r="O103" s="21"/>
      <c r="P103" s="22" t="n">
        <f aca="false">IF(OR($A103="",N(K103)=0),0,CEILING(K103*(1+IF($O103="",Taux_Compta,$O103))-0.005,Pas_Arrondi))</f>
        <v>0</v>
      </c>
      <c r="Q103" s="22" t="n">
        <f aca="false">IF(OR($A103="",N(L103)=0),0,CEILING(L103*(1+IF($O103="",Taux_Paye,$O103))-0.005,Pas_Arrondi))</f>
        <v>0</v>
      </c>
      <c r="R103" s="22" t="n">
        <f aca="false">IF(OR($A103="",N(M103)=0),0,CEILING(M103*(1+IF($O103="",Taux_Jur,$O103))-0.005,Pas_Arrondi))</f>
        <v>0</v>
      </c>
      <c r="S103" s="22" t="n">
        <f aca="false">IF(OR($A103="",N(N103)=0),0,CEILING(N103*(1+IF($O103="",Taux_PA,$O103))-0.005,Pas_Arrondi))</f>
        <v>0</v>
      </c>
      <c r="T103" s="22" t="str">
        <f aca="false">IF($A103="","",SUM(K103:N103))</f>
        <v/>
      </c>
      <c r="U103" s="22" t="str">
        <f aca="false">IF($A103="","",SUM(P103:S103))</f>
        <v/>
      </c>
      <c r="V103" s="22" t="str">
        <f aca="false">IF($A103="","",U103-T103)</f>
        <v/>
      </c>
      <c r="W103" s="23" t="str">
        <f aca="false">IF(OR($A103="",N(T103)=0),"",V103/T103)</f>
        <v/>
      </c>
      <c r="X103" s="18"/>
      <c r="Y103" s="18"/>
    </row>
    <row r="104" customFormat="false" ht="15" hidden="false" customHeight="false" outlineLevel="0" collapsed="false">
      <c r="A104" s="18"/>
      <c r="B104" s="18"/>
      <c r="C104" s="18"/>
      <c r="D104" s="18"/>
      <c r="E104" s="18"/>
      <c r="F104" s="18"/>
      <c r="G104" s="18"/>
      <c r="H104" s="19"/>
      <c r="I104" s="18"/>
      <c r="J104" s="18"/>
      <c r="K104" s="20"/>
      <c r="L104" s="20"/>
      <c r="M104" s="20"/>
      <c r="N104" s="20"/>
      <c r="O104" s="21"/>
      <c r="P104" s="22" t="n">
        <f aca="false">IF(OR($A104="",N(K104)=0),0,CEILING(K104*(1+IF($O104="",Taux_Compta,$O104))-0.005,Pas_Arrondi))</f>
        <v>0</v>
      </c>
      <c r="Q104" s="22" t="n">
        <f aca="false">IF(OR($A104="",N(L104)=0),0,CEILING(L104*(1+IF($O104="",Taux_Paye,$O104))-0.005,Pas_Arrondi))</f>
        <v>0</v>
      </c>
      <c r="R104" s="22" t="n">
        <f aca="false">IF(OR($A104="",N(M104)=0),0,CEILING(M104*(1+IF($O104="",Taux_Jur,$O104))-0.005,Pas_Arrondi))</f>
        <v>0</v>
      </c>
      <c r="S104" s="22" t="n">
        <f aca="false">IF(OR($A104="",N(N104)=0),0,CEILING(N104*(1+IF($O104="",Taux_PA,$O104))-0.005,Pas_Arrondi))</f>
        <v>0</v>
      </c>
      <c r="T104" s="22" t="str">
        <f aca="false">IF($A104="","",SUM(K104:N104))</f>
        <v/>
      </c>
      <c r="U104" s="22" t="str">
        <f aca="false">IF($A104="","",SUM(P104:S104))</f>
        <v/>
      </c>
      <c r="V104" s="22" t="str">
        <f aca="false">IF($A104="","",U104-T104)</f>
        <v/>
      </c>
      <c r="W104" s="23" t="str">
        <f aca="false">IF(OR($A104="",N(T104)=0),"",V104/T104)</f>
        <v/>
      </c>
      <c r="X104" s="18"/>
      <c r="Y104" s="18"/>
    </row>
    <row r="105" customFormat="false" ht="15" hidden="false" customHeight="false" outlineLevel="0" collapsed="false">
      <c r="A105" s="18"/>
      <c r="B105" s="18"/>
      <c r="C105" s="18"/>
      <c r="D105" s="18"/>
      <c r="E105" s="18"/>
      <c r="F105" s="18"/>
      <c r="G105" s="18"/>
      <c r="H105" s="19"/>
      <c r="I105" s="18"/>
      <c r="J105" s="18"/>
      <c r="K105" s="20"/>
      <c r="L105" s="20"/>
      <c r="M105" s="20"/>
      <c r="N105" s="20"/>
      <c r="O105" s="21"/>
      <c r="P105" s="22" t="n">
        <f aca="false">IF(OR($A105="",N(K105)=0),0,CEILING(K105*(1+IF($O105="",Taux_Compta,$O105))-0.005,Pas_Arrondi))</f>
        <v>0</v>
      </c>
      <c r="Q105" s="22" t="n">
        <f aca="false">IF(OR($A105="",N(L105)=0),0,CEILING(L105*(1+IF($O105="",Taux_Paye,$O105))-0.005,Pas_Arrondi))</f>
        <v>0</v>
      </c>
      <c r="R105" s="22" t="n">
        <f aca="false">IF(OR($A105="",N(M105)=0),0,CEILING(M105*(1+IF($O105="",Taux_Jur,$O105))-0.005,Pas_Arrondi))</f>
        <v>0</v>
      </c>
      <c r="S105" s="22" t="n">
        <f aca="false">IF(OR($A105="",N(N105)=0),0,CEILING(N105*(1+IF($O105="",Taux_PA,$O105))-0.005,Pas_Arrondi))</f>
        <v>0</v>
      </c>
      <c r="T105" s="22" t="str">
        <f aca="false">IF($A105="","",SUM(K105:N105))</f>
        <v/>
      </c>
      <c r="U105" s="22" t="str">
        <f aca="false">IF($A105="","",SUM(P105:S105))</f>
        <v/>
      </c>
      <c r="V105" s="22" t="str">
        <f aca="false">IF($A105="","",U105-T105)</f>
        <v/>
      </c>
      <c r="W105" s="23" t="str">
        <f aca="false">IF(OR($A105="",N(T105)=0),"",V105/T105)</f>
        <v/>
      </c>
      <c r="X105" s="18"/>
      <c r="Y105" s="18"/>
    </row>
    <row r="106" customFormat="false" ht="15" hidden="false" customHeight="false" outlineLevel="0" collapsed="false">
      <c r="A106" s="18"/>
      <c r="B106" s="18"/>
      <c r="C106" s="18"/>
      <c r="D106" s="18"/>
      <c r="E106" s="18"/>
      <c r="F106" s="18"/>
      <c r="G106" s="18"/>
      <c r="H106" s="19"/>
      <c r="I106" s="18"/>
      <c r="J106" s="18"/>
      <c r="K106" s="20"/>
      <c r="L106" s="20"/>
      <c r="M106" s="20"/>
      <c r="N106" s="20"/>
      <c r="O106" s="21"/>
      <c r="P106" s="22" t="n">
        <f aca="false">IF(OR($A106="",N(K106)=0),0,CEILING(K106*(1+IF($O106="",Taux_Compta,$O106))-0.005,Pas_Arrondi))</f>
        <v>0</v>
      </c>
      <c r="Q106" s="22" t="n">
        <f aca="false">IF(OR($A106="",N(L106)=0),0,CEILING(L106*(1+IF($O106="",Taux_Paye,$O106))-0.005,Pas_Arrondi))</f>
        <v>0</v>
      </c>
      <c r="R106" s="22" t="n">
        <f aca="false">IF(OR($A106="",N(M106)=0),0,CEILING(M106*(1+IF($O106="",Taux_Jur,$O106))-0.005,Pas_Arrondi))</f>
        <v>0</v>
      </c>
      <c r="S106" s="22" t="n">
        <f aca="false">IF(OR($A106="",N(N106)=0),0,CEILING(N106*(1+IF($O106="",Taux_PA,$O106))-0.005,Pas_Arrondi))</f>
        <v>0</v>
      </c>
      <c r="T106" s="22" t="str">
        <f aca="false">IF($A106="","",SUM(K106:N106))</f>
        <v/>
      </c>
      <c r="U106" s="22" t="str">
        <f aca="false">IF($A106="","",SUM(P106:S106))</f>
        <v/>
      </c>
      <c r="V106" s="22" t="str">
        <f aca="false">IF($A106="","",U106-T106)</f>
        <v/>
      </c>
      <c r="W106" s="23" t="str">
        <f aca="false">IF(OR($A106="",N(T106)=0),"",V106/T106)</f>
        <v/>
      </c>
      <c r="X106" s="18"/>
      <c r="Y106" s="18"/>
    </row>
    <row r="107" customFormat="false" ht="15" hidden="false" customHeight="false" outlineLevel="0" collapsed="false">
      <c r="A107" s="18"/>
      <c r="B107" s="18"/>
      <c r="C107" s="18"/>
      <c r="D107" s="18"/>
      <c r="E107" s="18"/>
      <c r="F107" s="18"/>
      <c r="G107" s="18"/>
      <c r="H107" s="19"/>
      <c r="I107" s="18"/>
      <c r="J107" s="18"/>
      <c r="K107" s="20"/>
      <c r="L107" s="20"/>
      <c r="M107" s="20"/>
      <c r="N107" s="20"/>
      <c r="O107" s="21"/>
      <c r="P107" s="22" t="n">
        <f aca="false">IF(OR($A107="",N(K107)=0),0,CEILING(K107*(1+IF($O107="",Taux_Compta,$O107))-0.005,Pas_Arrondi))</f>
        <v>0</v>
      </c>
      <c r="Q107" s="22" t="n">
        <f aca="false">IF(OR($A107="",N(L107)=0),0,CEILING(L107*(1+IF($O107="",Taux_Paye,$O107))-0.005,Pas_Arrondi))</f>
        <v>0</v>
      </c>
      <c r="R107" s="22" t="n">
        <f aca="false">IF(OR($A107="",N(M107)=0),0,CEILING(M107*(1+IF($O107="",Taux_Jur,$O107))-0.005,Pas_Arrondi))</f>
        <v>0</v>
      </c>
      <c r="S107" s="22" t="n">
        <f aca="false">IF(OR($A107="",N(N107)=0),0,CEILING(N107*(1+IF($O107="",Taux_PA,$O107))-0.005,Pas_Arrondi))</f>
        <v>0</v>
      </c>
      <c r="T107" s="22" t="str">
        <f aca="false">IF($A107="","",SUM(K107:N107))</f>
        <v/>
      </c>
      <c r="U107" s="22" t="str">
        <f aca="false">IF($A107="","",SUM(P107:S107))</f>
        <v/>
      </c>
      <c r="V107" s="22" t="str">
        <f aca="false">IF($A107="","",U107-T107)</f>
        <v/>
      </c>
      <c r="W107" s="23" t="str">
        <f aca="false">IF(OR($A107="",N(T107)=0),"",V107/T107)</f>
        <v/>
      </c>
      <c r="X107" s="18"/>
      <c r="Y107" s="18"/>
    </row>
    <row r="108" customFormat="false" ht="15" hidden="false" customHeight="false" outlineLevel="0" collapsed="false">
      <c r="A108" s="18"/>
      <c r="B108" s="18"/>
      <c r="C108" s="18"/>
      <c r="D108" s="18"/>
      <c r="E108" s="18"/>
      <c r="F108" s="18"/>
      <c r="G108" s="18"/>
      <c r="H108" s="19"/>
      <c r="I108" s="18"/>
      <c r="J108" s="18"/>
      <c r="K108" s="20"/>
      <c r="L108" s="20"/>
      <c r="M108" s="20"/>
      <c r="N108" s="20"/>
      <c r="O108" s="21"/>
      <c r="P108" s="22" t="n">
        <f aca="false">IF(OR($A108="",N(K108)=0),0,CEILING(K108*(1+IF($O108="",Taux_Compta,$O108))-0.005,Pas_Arrondi))</f>
        <v>0</v>
      </c>
      <c r="Q108" s="22" t="n">
        <f aca="false">IF(OR($A108="",N(L108)=0),0,CEILING(L108*(1+IF($O108="",Taux_Paye,$O108))-0.005,Pas_Arrondi))</f>
        <v>0</v>
      </c>
      <c r="R108" s="22" t="n">
        <f aca="false">IF(OR($A108="",N(M108)=0),0,CEILING(M108*(1+IF($O108="",Taux_Jur,$O108))-0.005,Pas_Arrondi))</f>
        <v>0</v>
      </c>
      <c r="S108" s="22" t="n">
        <f aca="false">IF(OR($A108="",N(N108)=0),0,CEILING(N108*(1+IF($O108="",Taux_PA,$O108))-0.005,Pas_Arrondi))</f>
        <v>0</v>
      </c>
      <c r="T108" s="22" t="str">
        <f aca="false">IF($A108="","",SUM(K108:N108))</f>
        <v/>
      </c>
      <c r="U108" s="22" t="str">
        <f aca="false">IF($A108="","",SUM(P108:S108))</f>
        <v/>
      </c>
      <c r="V108" s="22" t="str">
        <f aca="false">IF($A108="","",U108-T108)</f>
        <v/>
      </c>
      <c r="W108" s="23" t="str">
        <f aca="false">IF(OR($A108="",N(T108)=0),"",V108/T108)</f>
        <v/>
      </c>
      <c r="X108" s="18"/>
      <c r="Y108" s="18"/>
    </row>
    <row r="109" customFormat="false" ht="15" hidden="false" customHeight="false" outlineLevel="0" collapsed="false">
      <c r="A109" s="18"/>
      <c r="B109" s="18"/>
      <c r="C109" s="18"/>
      <c r="D109" s="18"/>
      <c r="E109" s="18"/>
      <c r="F109" s="18"/>
      <c r="G109" s="18"/>
      <c r="H109" s="19"/>
      <c r="I109" s="18"/>
      <c r="J109" s="18"/>
      <c r="K109" s="20"/>
      <c r="L109" s="20"/>
      <c r="M109" s="20"/>
      <c r="N109" s="20"/>
      <c r="O109" s="21"/>
      <c r="P109" s="22" t="n">
        <f aca="false">IF(OR($A109="",N(K109)=0),0,CEILING(K109*(1+IF($O109="",Taux_Compta,$O109))-0.005,Pas_Arrondi))</f>
        <v>0</v>
      </c>
      <c r="Q109" s="22" t="n">
        <f aca="false">IF(OR($A109="",N(L109)=0),0,CEILING(L109*(1+IF($O109="",Taux_Paye,$O109))-0.005,Pas_Arrondi))</f>
        <v>0</v>
      </c>
      <c r="R109" s="22" t="n">
        <f aca="false">IF(OR($A109="",N(M109)=0),0,CEILING(M109*(1+IF($O109="",Taux_Jur,$O109))-0.005,Pas_Arrondi))</f>
        <v>0</v>
      </c>
      <c r="S109" s="22" t="n">
        <f aca="false">IF(OR($A109="",N(N109)=0),0,CEILING(N109*(1+IF($O109="",Taux_PA,$O109))-0.005,Pas_Arrondi))</f>
        <v>0</v>
      </c>
      <c r="T109" s="22" t="str">
        <f aca="false">IF($A109="","",SUM(K109:N109))</f>
        <v/>
      </c>
      <c r="U109" s="22" t="str">
        <f aca="false">IF($A109="","",SUM(P109:S109))</f>
        <v/>
      </c>
      <c r="V109" s="22" t="str">
        <f aca="false">IF($A109="","",U109-T109)</f>
        <v/>
      </c>
      <c r="W109" s="23" t="str">
        <f aca="false">IF(OR($A109="",N(T109)=0),"",V109/T109)</f>
        <v/>
      </c>
      <c r="X109" s="18"/>
      <c r="Y109" s="18"/>
    </row>
    <row r="110" customFormat="false" ht="15" hidden="false" customHeight="false" outlineLevel="0" collapsed="false">
      <c r="A110" s="18"/>
      <c r="B110" s="18"/>
      <c r="C110" s="18"/>
      <c r="D110" s="18"/>
      <c r="E110" s="18"/>
      <c r="F110" s="18"/>
      <c r="G110" s="18"/>
      <c r="H110" s="19"/>
      <c r="I110" s="18"/>
      <c r="J110" s="18"/>
      <c r="K110" s="20"/>
      <c r="L110" s="20"/>
      <c r="M110" s="20"/>
      <c r="N110" s="20"/>
      <c r="O110" s="21"/>
      <c r="P110" s="22" t="n">
        <f aca="false">IF(OR($A110="",N(K110)=0),0,CEILING(K110*(1+IF($O110="",Taux_Compta,$O110))-0.005,Pas_Arrondi))</f>
        <v>0</v>
      </c>
      <c r="Q110" s="22" t="n">
        <f aca="false">IF(OR($A110="",N(L110)=0),0,CEILING(L110*(1+IF($O110="",Taux_Paye,$O110))-0.005,Pas_Arrondi))</f>
        <v>0</v>
      </c>
      <c r="R110" s="22" t="n">
        <f aca="false">IF(OR($A110="",N(M110)=0),0,CEILING(M110*(1+IF($O110="",Taux_Jur,$O110))-0.005,Pas_Arrondi))</f>
        <v>0</v>
      </c>
      <c r="S110" s="22" t="n">
        <f aca="false">IF(OR($A110="",N(N110)=0),0,CEILING(N110*(1+IF($O110="",Taux_PA,$O110))-0.005,Pas_Arrondi))</f>
        <v>0</v>
      </c>
      <c r="T110" s="22" t="str">
        <f aca="false">IF($A110="","",SUM(K110:N110))</f>
        <v/>
      </c>
      <c r="U110" s="22" t="str">
        <f aca="false">IF($A110="","",SUM(P110:S110))</f>
        <v/>
      </c>
      <c r="V110" s="22" t="str">
        <f aca="false">IF($A110="","",U110-T110)</f>
        <v/>
      </c>
      <c r="W110" s="23" t="str">
        <f aca="false">IF(OR($A110="",N(T110)=0),"",V110/T110)</f>
        <v/>
      </c>
      <c r="X110" s="18"/>
      <c r="Y110" s="18"/>
    </row>
    <row r="111" customFormat="false" ht="15" hidden="false" customHeight="false" outlineLevel="0" collapsed="false">
      <c r="A111" s="18"/>
      <c r="B111" s="18"/>
      <c r="C111" s="18"/>
      <c r="D111" s="18"/>
      <c r="E111" s="18"/>
      <c r="F111" s="18"/>
      <c r="G111" s="18"/>
      <c r="H111" s="19"/>
      <c r="I111" s="18"/>
      <c r="J111" s="18"/>
      <c r="K111" s="20"/>
      <c r="L111" s="20"/>
      <c r="M111" s="20"/>
      <c r="N111" s="20"/>
      <c r="O111" s="21"/>
      <c r="P111" s="22" t="n">
        <f aca="false">IF(OR($A111="",N(K111)=0),0,CEILING(K111*(1+IF($O111="",Taux_Compta,$O111))-0.005,Pas_Arrondi))</f>
        <v>0</v>
      </c>
      <c r="Q111" s="22" t="n">
        <f aca="false">IF(OR($A111="",N(L111)=0),0,CEILING(L111*(1+IF($O111="",Taux_Paye,$O111))-0.005,Pas_Arrondi))</f>
        <v>0</v>
      </c>
      <c r="R111" s="22" t="n">
        <f aca="false">IF(OR($A111="",N(M111)=0),0,CEILING(M111*(1+IF($O111="",Taux_Jur,$O111))-0.005,Pas_Arrondi))</f>
        <v>0</v>
      </c>
      <c r="S111" s="22" t="n">
        <f aca="false">IF(OR($A111="",N(N111)=0),0,CEILING(N111*(1+IF($O111="",Taux_PA,$O111))-0.005,Pas_Arrondi))</f>
        <v>0</v>
      </c>
      <c r="T111" s="22" t="str">
        <f aca="false">IF($A111="","",SUM(K111:N111))</f>
        <v/>
      </c>
      <c r="U111" s="22" t="str">
        <f aca="false">IF($A111="","",SUM(P111:S111))</f>
        <v/>
      </c>
      <c r="V111" s="22" t="str">
        <f aca="false">IF($A111="","",U111-T111)</f>
        <v/>
      </c>
      <c r="W111" s="23" t="str">
        <f aca="false">IF(OR($A111="",N(T111)=0),"",V111/T111)</f>
        <v/>
      </c>
      <c r="X111" s="18"/>
      <c r="Y111" s="18"/>
    </row>
    <row r="112" customFormat="false" ht="15" hidden="false" customHeight="false" outlineLevel="0" collapsed="false">
      <c r="A112" s="18"/>
      <c r="B112" s="18"/>
      <c r="C112" s="18"/>
      <c r="D112" s="18"/>
      <c r="E112" s="18"/>
      <c r="F112" s="18"/>
      <c r="G112" s="18"/>
      <c r="H112" s="19"/>
      <c r="I112" s="18"/>
      <c r="J112" s="18"/>
      <c r="K112" s="20"/>
      <c r="L112" s="20"/>
      <c r="M112" s="20"/>
      <c r="N112" s="20"/>
      <c r="O112" s="21"/>
      <c r="P112" s="22" t="n">
        <f aca="false">IF(OR($A112="",N(K112)=0),0,CEILING(K112*(1+IF($O112="",Taux_Compta,$O112))-0.005,Pas_Arrondi))</f>
        <v>0</v>
      </c>
      <c r="Q112" s="22" t="n">
        <f aca="false">IF(OR($A112="",N(L112)=0),0,CEILING(L112*(1+IF($O112="",Taux_Paye,$O112))-0.005,Pas_Arrondi))</f>
        <v>0</v>
      </c>
      <c r="R112" s="22" t="n">
        <f aca="false">IF(OR($A112="",N(M112)=0),0,CEILING(M112*(1+IF($O112="",Taux_Jur,$O112))-0.005,Pas_Arrondi))</f>
        <v>0</v>
      </c>
      <c r="S112" s="22" t="n">
        <f aca="false">IF(OR($A112="",N(N112)=0),0,CEILING(N112*(1+IF($O112="",Taux_PA,$O112))-0.005,Pas_Arrondi))</f>
        <v>0</v>
      </c>
      <c r="T112" s="22" t="str">
        <f aca="false">IF($A112="","",SUM(K112:N112))</f>
        <v/>
      </c>
      <c r="U112" s="22" t="str">
        <f aca="false">IF($A112="","",SUM(P112:S112))</f>
        <v/>
      </c>
      <c r="V112" s="22" t="str">
        <f aca="false">IF($A112="","",U112-T112)</f>
        <v/>
      </c>
      <c r="W112" s="23" t="str">
        <f aca="false">IF(OR($A112="",N(T112)=0),"",V112/T112)</f>
        <v/>
      </c>
      <c r="X112" s="18"/>
      <c r="Y112" s="18"/>
    </row>
    <row r="113" customFormat="false" ht="15" hidden="false" customHeight="false" outlineLevel="0" collapsed="false">
      <c r="A113" s="18"/>
      <c r="B113" s="18"/>
      <c r="C113" s="18"/>
      <c r="D113" s="18"/>
      <c r="E113" s="18"/>
      <c r="F113" s="18"/>
      <c r="G113" s="18"/>
      <c r="H113" s="19"/>
      <c r="I113" s="18"/>
      <c r="J113" s="18"/>
      <c r="K113" s="20"/>
      <c r="L113" s="20"/>
      <c r="M113" s="20"/>
      <c r="N113" s="20"/>
      <c r="O113" s="21"/>
      <c r="P113" s="22" t="n">
        <f aca="false">IF(OR($A113="",N(K113)=0),0,CEILING(K113*(1+IF($O113="",Taux_Compta,$O113))-0.005,Pas_Arrondi))</f>
        <v>0</v>
      </c>
      <c r="Q113" s="22" t="n">
        <f aca="false">IF(OR($A113="",N(L113)=0),0,CEILING(L113*(1+IF($O113="",Taux_Paye,$O113))-0.005,Pas_Arrondi))</f>
        <v>0</v>
      </c>
      <c r="R113" s="22" t="n">
        <f aca="false">IF(OR($A113="",N(M113)=0),0,CEILING(M113*(1+IF($O113="",Taux_Jur,$O113))-0.005,Pas_Arrondi))</f>
        <v>0</v>
      </c>
      <c r="S113" s="22" t="n">
        <f aca="false">IF(OR($A113="",N(N113)=0),0,CEILING(N113*(1+IF($O113="",Taux_PA,$O113))-0.005,Pas_Arrondi))</f>
        <v>0</v>
      </c>
      <c r="T113" s="22" t="str">
        <f aca="false">IF($A113="","",SUM(K113:N113))</f>
        <v/>
      </c>
      <c r="U113" s="22" t="str">
        <f aca="false">IF($A113="","",SUM(P113:S113))</f>
        <v/>
      </c>
      <c r="V113" s="22" t="str">
        <f aca="false">IF($A113="","",U113-T113)</f>
        <v/>
      </c>
      <c r="W113" s="23" t="str">
        <f aca="false">IF(OR($A113="",N(T113)=0),"",V113/T113)</f>
        <v/>
      </c>
      <c r="X113" s="18"/>
      <c r="Y113" s="18"/>
    </row>
    <row r="114" customFormat="false" ht="15" hidden="false" customHeight="false" outlineLevel="0" collapsed="false">
      <c r="A114" s="18"/>
      <c r="B114" s="18"/>
      <c r="C114" s="18"/>
      <c r="D114" s="18"/>
      <c r="E114" s="18"/>
      <c r="F114" s="18"/>
      <c r="G114" s="18"/>
      <c r="H114" s="19"/>
      <c r="I114" s="18"/>
      <c r="J114" s="18"/>
      <c r="K114" s="20"/>
      <c r="L114" s="20"/>
      <c r="M114" s="20"/>
      <c r="N114" s="20"/>
      <c r="O114" s="21"/>
      <c r="P114" s="22" t="n">
        <f aca="false">IF(OR($A114="",N(K114)=0),0,CEILING(K114*(1+IF($O114="",Taux_Compta,$O114))-0.005,Pas_Arrondi))</f>
        <v>0</v>
      </c>
      <c r="Q114" s="22" t="n">
        <f aca="false">IF(OR($A114="",N(L114)=0),0,CEILING(L114*(1+IF($O114="",Taux_Paye,$O114))-0.005,Pas_Arrondi))</f>
        <v>0</v>
      </c>
      <c r="R114" s="22" t="n">
        <f aca="false">IF(OR($A114="",N(M114)=0),0,CEILING(M114*(1+IF($O114="",Taux_Jur,$O114))-0.005,Pas_Arrondi))</f>
        <v>0</v>
      </c>
      <c r="S114" s="22" t="n">
        <f aca="false">IF(OR($A114="",N(N114)=0),0,CEILING(N114*(1+IF($O114="",Taux_PA,$O114))-0.005,Pas_Arrondi))</f>
        <v>0</v>
      </c>
      <c r="T114" s="22" t="str">
        <f aca="false">IF($A114="","",SUM(K114:N114))</f>
        <v/>
      </c>
      <c r="U114" s="22" t="str">
        <f aca="false">IF($A114="","",SUM(P114:S114))</f>
        <v/>
      </c>
      <c r="V114" s="22" t="str">
        <f aca="false">IF($A114="","",U114-T114)</f>
        <v/>
      </c>
      <c r="W114" s="23" t="str">
        <f aca="false">IF(OR($A114="",N(T114)=0),"",V114/T114)</f>
        <v/>
      </c>
      <c r="X114" s="18"/>
      <c r="Y114" s="18"/>
    </row>
    <row r="115" customFormat="false" ht="15" hidden="false" customHeight="false" outlineLevel="0" collapsed="false">
      <c r="A115" s="18"/>
      <c r="B115" s="18"/>
      <c r="C115" s="18"/>
      <c r="D115" s="18"/>
      <c r="E115" s="18"/>
      <c r="F115" s="18"/>
      <c r="G115" s="18"/>
      <c r="H115" s="19"/>
      <c r="I115" s="18"/>
      <c r="J115" s="18"/>
      <c r="K115" s="20"/>
      <c r="L115" s="20"/>
      <c r="M115" s="20"/>
      <c r="N115" s="20"/>
      <c r="O115" s="21"/>
      <c r="P115" s="22" t="n">
        <f aca="false">IF(OR($A115="",N(K115)=0),0,CEILING(K115*(1+IF($O115="",Taux_Compta,$O115))-0.005,Pas_Arrondi))</f>
        <v>0</v>
      </c>
      <c r="Q115" s="22" t="n">
        <f aca="false">IF(OR($A115="",N(L115)=0),0,CEILING(L115*(1+IF($O115="",Taux_Paye,$O115))-0.005,Pas_Arrondi))</f>
        <v>0</v>
      </c>
      <c r="R115" s="22" t="n">
        <f aca="false">IF(OR($A115="",N(M115)=0),0,CEILING(M115*(1+IF($O115="",Taux_Jur,$O115))-0.005,Pas_Arrondi))</f>
        <v>0</v>
      </c>
      <c r="S115" s="22" t="n">
        <f aca="false">IF(OR($A115="",N(N115)=0),0,CEILING(N115*(1+IF($O115="",Taux_PA,$O115))-0.005,Pas_Arrondi))</f>
        <v>0</v>
      </c>
      <c r="T115" s="22" t="str">
        <f aca="false">IF($A115="","",SUM(K115:N115))</f>
        <v/>
      </c>
      <c r="U115" s="22" t="str">
        <f aca="false">IF($A115="","",SUM(P115:S115))</f>
        <v/>
      </c>
      <c r="V115" s="22" t="str">
        <f aca="false">IF($A115="","",U115-T115)</f>
        <v/>
      </c>
      <c r="W115" s="23" t="str">
        <f aca="false">IF(OR($A115="",N(T115)=0),"",V115/T115)</f>
        <v/>
      </c>
      <c r="X115" s="18"/>
      <c r="Y115" s="18"/>
    </row>
    <row r="116" customFormat="false" ht="15" hidden="false" customHeight="false" outlineLevel="0" collapsed="false">
      <c r="A116" s="18"/>
      <c r="B116" s="18"/>
      <c r="C116" s="18"/>
      <c r="D116" s="18"/>
      <c r="E116" s="18"/>
      <c r="F116" s="18"/>
      <c r="G116" s="18"/>
      <c r="H116" s="19"/>
      <c r="I116" s="18"/>
      <c r="J116" s="18"/>
      <c r="K116" s="20"/>
      <c r="L116" s="20"/>
      <c r="M116" s="20"/>
      <c r="N116" s="20"/>
      <c r="O116" s="21"/>
      <c r="P116" s="22" t="n">
        <f aca="false">IF(OR($A116="",N(K116)=0),0,CEILING(K116*(1+IF($O116="",Taux_Compta,$O116))-0.005,Pas_Arrondi))</f>
        <v>0</v>
      </c>
      <c r="Q116" s="22" t="n">
        <f aca="false">IF(OR($A116="",N(L116)=0),0,CEILING(L116*(1+IF($O116="",Taux_Paye,$O116))-0.005,Pas_Arrondi))</f>
        <v>0</v>
      </c>
      <c r="R116" s="22" t="n">
        <f aca="false">IF(OR($A116="",N(M116)=0),0,CEILING(M116*(1+IF($O116="",Taux_Jur,$O116))-0.005,Pas_Arrondi))</f>
        <v>0</v>
      </c>
      <c r="S116" s="22" t="n">
        <f aca="false">IF(OR($A116="",N(N116)=0),0,CEILING(N116*(1+IF($O116="",Taux_PA,$O116))-0.005,Pas_Arrondi))</f>
        <v>0</v>
      </c>
      <c r="T116" s="22" t="str">
        <f aca="false">IF($A116="","",SUM(K116:N116))</f>
        <v/>
      </c>
      <c r="U116" s="22" t="str">
        <f aca="false">IF($A116="","",SUM(P116:S116))</f>
        <v/>
      </c>
      <c r="V116" s="22" t="str">
        <f aca="false">IF($A116="","",U116-T116)</f>
        <v/>
      </c>
      <c r="W116" s="23" t="str">
        <f aca="false">IF(OR($A116="",N(T116)=0),"",V116/T116)</f>
        <v/>
      </c>
      <c r="X116" s="18"/>
      <c r="Y116" s="18"/>
    </row>
    <row r="117" customFormat="false" ht="15" hidden="false" customHeight="false" outlineLevel="0" collapsed="false">
      <c r="A117" s="18"/>
      <c r="B117" s="18"/>
      <c r="C117" s="18"/>
      <c r="D117" s="18"/>
      <c r="E117" s="18"/>
      <c r="F117" s="18"/>
      <c r="G117" s="18"/>
      <c r="H117" s="19"/>
      <c r="I117" s="18"/>
      <c r="J117" s="18"/>
      <c r="K117" s="20"/>
      <c r="L117" s="20"/>
      <c r="M117" s="20"/>
      <c r="N117" s="20"/>
      <c r="O117" s="21"/>
      <c r="P117" s="22" t="n">
        <f aca="false">IF(OR($A117="",N(K117)=0),0,CEILING(K117*(1+IF($O117="",Taux_Compta,$O117))-0.005,Pas_Arrondi))</f>
        <v>0</v>
      </c>
      <c r="Q117" s="22" t="n">
        <f aca="false">IF(OR($A117="",N(L117)=0),0,CEILING(L117*(1+IF($O117="",Taux_Paye,$O117))-0.005,Pas_Arrondi))</f>
        <v>0</v>
      </c>
      <c r="R117" s="22" t="n">
        <f aca="false">IF(OR($A117="",N(M117)=0),0,CEILING(M117*(1+IF($O117="",Taux_Jur,$O117))-0.005,Pas_Arrondi))</f>
        <v>0</v>
      </c>
      <c r="S117" s="22" t="n">
        <f aca="false">IF(OR($A117="",N(N117)=0),0,CEILING(N117*(1+IF($O117="",Taux_PA,$O117))-0.005,Pas_Arrondi))</f>
        <v>0</v>
      </c>
      <c r="T117" s="22" t="str">
        <f aca="false">IF($A117="","",SUM(K117:N117))</f>
        <v/>
      </c>
      <c r="U117" s="22" t="str">
        <f aca="false">IF($A117="","",SUM(P117:S117))</f>
        <v/>
      </c>
      <c r="V117" s="22" t="str">
        <f aca="false">IF($A117="","",U117-T117)</f>
        <v/>
      </c>
      <c r="W117" s="23" t="str">
        <f aca="false">IF(OR($A117="",N(T117)=0),"",V117/T117)</f>
        <v/>
      </c>
      <c r="X117" s="18"/>
      <c r="Y117" s="18"/>
    </row>
    <row r="118" customFormat="false" ht="15" hidden="false" customHeight="false" outlineLevel="0" collapsed="false">
      <c r="A118" s="18"/>
      <c r="B118" s="18"/>
      <c r="C118" s="18"/>
      <c r="D118" s="18"/>
      <c r="E118" s="18"/>
      <c r="F118" s="18"/>
      <c r="G118" s="18"/>
      <c r="H118" s="19"/>
      <c r="I118" s="18"/>
      <c r="J118" s="18"/>
      <c r="K118" s="20"/>
      <c r="L118" s="20"/>
      <c r="M118" s="20"/>
      <c r="N118" s="20"/>
      <c r="O118" s="21"/>
      <c r="P118" s="22" t="n">
        <f aca="false">IF(OR($A118="",N(K118)=0),0,CEILING(K118*(1+IF($O118="",Taux_Compta,$O118))-0.005,Pas_Arrondi))</f>
        <v>0</v>
      </c>
      <c r="Q118" s="22" t="n">
        <f aca="false">IF(OR($A118="",N(L118)=0),0,CEILING(L118*(1+IF($O118="",Taux_Paye,$O118))-0.005,Pas_Arrondi))</f>
        <v>0</v>
      </c>
      <c r="R118" s="22" t="n">
        <f aca="false">IF(OR($A118="",N(M118)=0),0,CEILING(M118*(1+IF($O118="",Taux_Jur,$O118))-0.005,Pas_Arrondi))</f>
        <v>0</v>
      </c>
      <c r="S118" s="22" t="n">
        <f aca="false">IF(OR($A118="",N(N118)=0),0,CEILING(N118*(1+IF($O118="",Taux_PA,$O118))-0.005,Pas_Arrondi))</f>
        <v>0</v>
      </c>
      <c r="T118" s="22" t="str">
        <f aca="false">IF($A118="","",SUM(K118:N118))</f>
        <v/>
      </c>
      <c r="U118" s="22" t="str">
        <f aca="false">IF($A118="","",SUM(P118:S118))</f>
        <v/>
      </c>
      <c r="V118" s="22" t="str">
        <f aca="false">IF($A118="","",U118-T118)</f>
        <v/>
      </c>
      <c r="W118" s="23" t="str">
        <f aca="false">IF(OR($A118="",N(T118)=0),"",V118/T118)</f>
        <v/>
      </c>
      <c r="X118" s="18"/>
      <c r="Y118" s="18"/>
    </row>
    <row r="119" customFormat="false" ht="15" hidden="false" customHeight="false" outlineLevel="0" collapsed="false">
      <c r="A119" s="18"/>
      <c r="B119" s="18"/>
      <c r="C119" s="18"/>
      <c r="D119" s="18"/>
      <c r="E119" s="18"/>
      <c r="F119" s="18"/>
      <c r="G119" s="18"/>
      <c r="H119" s="19"/>
      <c r="I119" s="18"/>
      <c r="J119" s="18"/>
      <c r="K119" s="20"/>
      <c r="L119" s="20"/>
      <c r="M119" s="20"/>
      <c r="N119" s="20"/>
      <c r="O119" s="21"/>
      <c r="P119" s="22" t="n">
        <f aca="false">IF(OR($A119="",N(K119)=0),0,CEILING(K119*(1+IF($O119="",Taux_Compta,$O119))-0.005,Pas_Arrondi))</f>
        <v>0</v>
      </c>
      <c r="Q119" s="22" t="n">
        <f aca="false">IF(OR($A119="",N(L119)=0),0,CEILING(L119*(1+IF($O119="",Taux_Paye,$O119))-0.005,Pas_Arrondi))</f>
        <v>0</v>
      </c>
      <c r="R119" s="22" t="n">
        <f aca="false">IF(OR($A119="",N(M119)=0),0,CEILING(M119*(1+IF($O119="",Taux_Jur,$O119))-0.005,Pas_Arrondi))</f>
        <v>0</v>
      </c>
      <c r="S119" s="22" t="n">
        <f aca="false">IF(OR($A119="",N(N119)=0),0,CEILING(N119*(1+IF($O119="",Taux_PA,$O119))-0.005,Pas_Arrondi))</f>
        <v>0</v>
      </c>
      <c r="T119" s="22" t="str">
        <f aca="false">IF($A119="","",SUM(K119:N119))</f>
        <v/>
      </c>
      <c r="U119" s="22" t="str">
        <f aca="false">IF($A119="","",SUM(P119:S119))</f>
        <v/>
      </c>
      <c r="V119" s="22" t="str">
        <f aca="false">IF($A119="","",U119-T119)</f>
        <v/>
      </c>
      <c r="W119" s="23" t="str">
        <f aca="false">IF(OR($A119="",N(T119)=0),"",V119/T119)</f>
        <v/>
      </c>
      <c r="X119" s="18"/>
      <c r="Y119" s="18"/>
    </row>
    <row r="120" customFormat="false" ht="15" hidden="false" customHeight="false" outlineLevel="0" collapsed="false">
      <c r="A120" s="18"/>
      <c r="B120" s="18"/>
      <c r="C120" s="18"/>
      <c r="D120" s="18"/>
      <c r="E120" s="18"/>
      <c r="F120" s="18"/>
      <c r="G120" s="18"/>
      <c r="H120" s="19"/>
      <c r="I120" s="18"/>
      <c r="J120" s="18"/>
      <c r="K120" s="20"/>
      <c r="L120" s="20"/>
      <c r="M120" s="20"/>
      <c r="N120" s="20"/>
      <c r="O120" s="21"/>
      <c r="P120" s="22" t="n">
        <f aca="false">IF(OR($A120="",N(K120)=0),0,CEILING(K120*(1+IF($O120="",Taux_Compta,$O120))-0.005,Pas_Arrondi))</f>
        <v>0</v>
      </c>
      <c r="Q120" s="22" t="n">
        <f aca="false">IF(OR($A120="",N(L120)=0),0,CEILING(L120*(1+IF($O120="",Taux_Paye,$O120))-0.005,Pas_Arrondi))</f>
        <v>0</v>
      </c>
      <c r="R120" s="22" t="n">
        <f aca="false">IF(OR($A120="",N(M120)=0),0,CEILING(M120*(1+IF($O120="",Taux_Jur,$O120))-0.005,Pas_Arrondi))</f>
        <v>0</v>
      </c>
      <c r="S120" s="22" t="n">
        <f aca="false">IF(OR($A120="",N(N120)=0),0,CEILING(N120*(1+IF($O120="",Taux_PA,$O120))-0.005,Pas_Arrondi))</f>
        <v>0</v>
      </c>
      <c r="T120" s="22" t="str">
        <f aca="false">IF($A120="","",SUM(K120:N120))</f>
        <v/>
      </c>
      <c r="U120" s="22" t="str">
        <f aca="false">IF($A120="","",SUM(P120:S120))</f>
        <v/>
      </c>
      <c r="V120" s="22" t="str">
        <f aca="false">IF($A120="","",U120-T120)</f>
        <v/>
      </c>
      <c r="W120" s="23" t="str">
        <f aca="false">IF(OR($A120="",N(T120)=0),"",V120/T120)</f>
        <v/>
      </c>
      <c r="X120" s="18"/>
      <c r="Y120" s="18"/>
    </row>
    <row r="121" customFormat="false" ht="15" hidden="false" customHeight="false" outlineLevel="0" collapsed="false">
      <c r="A121" s="18"/>
      <c r="B121" s="18"/>
      <c r="C121" s="18"/>
      <c r="D121" s="18"/>
      <c r="E121" s="18"/>
      <c r="F121" s="18"/>
      <c r="G121" s="18"/>
      <c r="H121" s="19"/>
      <c r="I121" s="18"/>
      <c r="J121" s="18"/>
      <c r="K121" s="20"/>
      <c r="L121" s="20"/>
      <c r="M121" s="20"/>
      <c r="N121" s="20"/>
      <c r="O121" s="21"/>
      <c r="P121" s="22" t="n">
        <f aca="false">IF(OR($A121="",N(K121)=0),0,CEILING(K121*(1+IF($O121="",Taux_Compta,$O121))-0.005,Pas_Arrondi))</f>
        <v>0</v>
      </c>
      <c r="Q121" s="22" t="n">
        <f aca="false">IF(OR($A121="",N(L121)=0),0,CEILING(L121*(1+IF($O121="",Taux_Paye,$O121))-0.005,Pas_Arrondi))</f>
        <v>0</v>
      </c>
      <c r="R121" s="22" t="n">
        <f aca="false">IF(OR($A121="",N(M121)=0),0,CEILING(M121*(1+IF($O121="",Taux_Jur,$O121))-0.005,Pas_Arrondi))</f>
        <v>0</v>
      </c>
      <c r="S121" s="22" t="n">
        <f aca="false">IF(OR($A121="",N(N121)=0),0,CEILING(N121*(1+IF($O121="",Taux_PA,$O121))-0.005,Pas_Arrondi))</f>
        <v>0</v>
      </c>
      <c r="T121" s="22" t="str">
        <f aca="false">IF($A121="","",SUM(K121:N121))</f>
        <v/>
      </c>
      <c r="U121" s="22" t="str">
        <f aca="false">IF($A121="","",SUM(P121:S121))</f>
        <v/>
      </c>
      <c r="V121" s="22" t="str">
        <f aca="false">IF($A121="","",U121-T121)</f>
        <v/>
      </c>
      <c r="W121" s="23" t="str">
        <f aca="false">IF(OR($A121="",N(T121)=0),"",V121/T121)</f>
        <v/>
      </c>
      <c r="X121" s="18"/>
      <c r="Y121" s="18"/>
    </row>
    <row r="122" customFormat="false" ht="15" hidden="false" customHeight="false" outlineLevel="0" collapsed="false">
      <c r="A122" s="18"/>
      <c r="B122" s="18"/>
      <c r="C122" s="18"/>
      <c r="D122" s="18"/>
      <c r="E122" s="18"/>
      <c r="F122" s="18"/>
      <c r="G122" s="18"/>
      <c r="H122" s="19"/>
      <c r="I122" s="18"/>
      <c r="J122" s="18"/>
      <c r="K122" s="20"/>
      <c r="L122" s="20"/>
      <c r="M122" s="20"/>
      <c r="N122" s="20"/>
      <c r="O122" s="21"/>
      <c r="P122" s="22" t="n">
        <f aca="false">IF(OR($A122="",N(K122)=0),0,CEILING(K122*(1+IF($O122="",Taux_Compta,$O122))-0.005,Pas_Arrondi))</f>
        <v>0</v>
      </c>
      <c r="Q122" s="22" t="n">
        <f aca="false">IF(OR($A122="",N(L122)=0),0,CEILING(L122*(1+IF($O122="",Taux_Paye,$O122))-0.005,Pas_Arrondi))</f>
        <v>0</v>
      </c>
      <c r="R122" s="22" t="n">
        <f aca="false">IF(OR($A122="",N(M122)=0),0,CEILING(M122*(1+IF($O122="",Taux_Jur,$O122))-0.005,Pas_Arrondi))</f>
        <v>0</v>
      </c>
      <c r="S122" s="22" t="n">
        <f aca="false">IF(OR($A122="",N(N122)=0),0,CEILING(N122*(1+IF($O122="",Taux_PA,$O122))-0.005,Pas_Arrondi))</f>
        <v>0</v>
      </c>
      <c r="T122" s="22" t="str">
        <f aca="false">IF($A122="","",SUM(K122:N122))</f>
        <v/>
      </c>
      <c r="U122" s="22" t="str">
        <f aca="false">IF($A122="","",SUM(P122:S122))</f>
        <v/>
      </c>
      <c r="V122" s="22" t="str">
        <f aca="false">IF($A122="","",U122-T122)</f>
        <v/>
      </c>
      <c r="W122" s="23" t="str">
        <f aca="false">IF(OR($A122="",N(T122)=0),"",V122/T122)</f>
        <v/>
      </c>
      <c r="X122" s="18"/>
      <c r="Y122" s="18"/>
    </row>
    <row r="123" customFormat="false" ht="15" hidden="false" customHeight="false" outlineLevel="0" collapsed="false">
      <c r="A123" s="18"/>
      <c r="B123" s="18"/>
      <c r="C123" s="18"/>
      <c r="D123" s="18"/>
      <c r="E123" s="18"/>
      <c r="F123" s="18"/>
      <c r="G123" s="18"/>
      <c r="H123" s="19"/>
      <c r="I123" s="18"/>
      <c r="J123" s="18"/>
      <c r="K123" s="20"/>
      <c r="L123" s="20"/>
      <c r="M123" s="20"/>
      <c r="N123" s="20"/>
      <c r="O123" s="21"/>
      <c r="P123" s="22" t="n">
        <f aca="false">IF(OR($A123="",N(K123)=0),0,CEILING(K123*(1+IF($O123="",Taux_Compta,$O123))-0.005,Pas_Arrondi))</f>
        <v>0</v>
      </c>
      <c r="Q123" s="22" t="n">
        <f aca="false">IF(OR($A123="",N(L123)=0),0,CEILING(L123*(1+IF($O123="",Taux_Paye,$O123))-0.005,Pas_Arrondi))</f>
        <v>0</v>
      </c>
      <c r="R123" s="22" t="n">
        <f aca="false">IF(OR($A123="",N(M123)=0),0,CEILING(M123*(1+IF($O123="",Taux_Jur,$O123))-0.005,Pas_Arrondi))</f>
        <v>0</v>
      </c>
      <c r="S123" s="22" t="n">
        <f aca="false">IF(OR($A123="",N(N123)=0),0,CEILING(N123*(1+IF($O123="",Taux_PA,$O123))-0.005,Pas_Arrondi))</f>
        <v>0</v>
      </c>
      <c r="T123" s="22" t="str">
        <f aca="false">IF($A123="","",SUM(K123:N123))</f>
        <v/>
      </c>
      <c r="U123" s="22" t="str">
        <f aca="false">IF($A123="","",SUM(P123:S123))</f>
        <v/>
      </c>
      <c r="V123" s="22" t="str">
        <f aca="false">IF($A123="","",U123-T123)</f>
        <v/>
      </c>
      <c r="W123" s="23" t="str">
        <f aca="false">IF(OR($A123="",N(T123)=0),"",V123/T123)</f>
        <v/>
      </c>
      <c r="X123" s="18"/>
      <c r="Y123" s="18"/>
    </row>
    <row r="124" customFormat="false" ht="15" hidden="false" customHeight="false" outlineLevel="0" collapsed="false">
      <c r="A124" s="18"/>
      <c r="B124" s="18"/>
      <c r="C124" s="18"/>
      <c r="D124" s="18"/>
      <c r="E124" s="18"/>
      <c r="F124" s="18"/>
      <c r="G124" s="18"/>
      <c r="H124" s="19"/>
      <c r="I124" s="18"/>
      <c r="J124" s="18"/>
      <c r="K124" s="20"/>
      <c r="L124" s="20"/>
      <c r="M124" s="20"/>
      <c r="N124" s="20"/>
      <c r="O124" s="21"/>
      <c r="P124" s="22" t="n">
        <f aca="false">IF(OR($A124="",N(K124)=0),0,CEILING(K124*(1+IF($O124="",Taux_Compta,$O124))-0.005,Pas_Arrondi))</f>
        <v>0</v>
      </c>
      <c r="Q124" s="22" t="n">
        <f aca="false">IF(OR($A124="",N(L124)=0),0,CEILING(L124*(1+IF($O124="",Taux_Paye,$O124))-0.005,Pas_Arrondi))</f>
        <v>0</v>
      </c>
      <c r="R124" s="22" t="n">
        <f aca="false">IF(OR($A124="",N(M124)=0),0,CEILING(M124*(1+IF($O124="",Taux_Jur,$O124))-0.005,Pas_Arrondi))</f>
        <v>0</v>
      </c>
      <c r="S124" s="22" t="n">
        <f aca="false">IF(OR($A124="",N(N124)=0),0,CEILING(N124*(1+IF($O124="",Taux_PA,$O124))-0.005,Pas_Arrondi))</f>
        <v>0</v>
      </c>
      <c r="T124" s="22" t="str">
        <f aca="false">IF($A124="","",SUM(K124:N124))</f>
        <v/>
      </c>
      <c r="U124" s="22" t="str">
        <f aca="false">IF($A124="","",SUM(P124:S124))</f>
        <v/>
      </c>
      <c r="V124" s="22" t="str">
        <f aca="false">IF($A124="","",U124-T124)</f>
        <v/>
      </c>
      <c r="W124" s="23" t="str">
        <f aca="false">IF(OR($A124="",N(T124)=0),"",V124/T124)</f>
        <v/>
      </c>
      <c r="X124" s="18"/>
      <c r="Y124" s="18"/>
    </row>
    <row r="125" customFormat="false" ht="15" hidden="false" customHeight="false" outlineLevel="0" collapsed="false">
      <c r="A125" s="18"/>
      <c r="B125" s="18"/>
      <c r="C125" s="18"/>
      <c r="D125" s="18"/>
      <c r="E125" s="18"/>
      <c r="F125" s="18"/>
      <c r="G125" s="18"/>
      <c r="H125" s="19"/>
      <c r="I125" s="18"/>
      <c r="J125" s="18"/>
      <c r="K125" s="20"/>
      <c r="L125" s="20"/>
      <c r="M125" s="20"/>
      <c r="N125" s="20"/>
      <c r="O125" s="21"/>
      <c r="P125" s="22" t="n">
        <f aca="false">IF(OR($A125="",N(K125)=0),0,CEILING(K125*(1+IF($O125="",Taux_Compta,$O125))-0.005,Pas_Arrondi))</f>
        <v>0</v>
      </c>
      <c r="Q125" s="22" t="n">
        <f aca="false">IF(OR($A125="",N(L125)=0),0,CEILING(L125*(1+IF($O125="",Taux_Paye,$O125))-0.005,Pas_Arrondi))</f>
        <v>0</v>
      </c>
      <c r="R125" s="22" t="n">
        <f aca="false">IF(OR($A125="",N(M125)=0),0,CEILING(M125*(1+IF($O125="",Taux_Jur,$O125))-0.005,Pas_Arrondi))</f>
        <v>0</v>
      </c>
      <c r="S125" s="22" t="n">
        <f aca="false">IF(OR($A125="",N(N125)=0),0,CEILING(N125*(1+IF($O125="",Taux_PA,$O125))-0.005,Pas_Arrondi))</f>
        <v>0</v>
      </c>
      <c r="T125" s="22" t="str">
        <f aca="false">IF($A125="","",SUM(K125:N125))</f>
        <v/>
      </c>
      <c r="U125" s="22" t="str">
        <f aca="false">IF($A125="","",SUM(P125:S125))</f>
        <v/>
      </c>
      <c r="V125" s="22" t="str">
        <f aca="false">IF($A125="","",U125-T125)</f>
        <v/>
      </c>
      <c r="W125" s="23" t="str">
        <f aca="false">IF(OR($A125="",N(T125)=0),"",V125/T125)</f>
        <v/>
      </c>
      <c r="X125" s="18"/>
      <c r="Y125" s="18"/>
    </row>
    <row r="126" customFormat="false" ht="15" hidden="false" customHeight="false" outlineLevel="0" collapsed="false">
      <c r="A126" s="18"/>
      <c r="B126" s="18"/>
      <c r="C126" s="18"/>
      <c r="D126" s="18"/>
      <c r="E126" s="18"/>
      <c r="F126" s="18"/>
      <c r="G126" s="18"/>
      <c r="H126" s="19"/>
      <c r="I126" s="18"/>
      <c r="J126" s="18"/>
      <c r="K126" s="20"/>
      <c r="L126" s="20"/>
      <c r="M126" s="20"/>
      <c r="N126" s="20"/>
      <c r="O126" s="21"/>
      <c r="P126" s="22" t="n">
        <f aca="false">IF(OR($A126="",N(K126)=0),0,CEILING(K126*(1+IF($O126="",Taux_Compta,$O126))-0.005,Pas_Arrondi))</f>
        <v>0</v>
      </c>
      <c r="Q126" s="22" t="n">
        <f aca="false">IF(OR($A126="",N(L126)=0),0,CEILING(L126*(1+IF($O126="",Taux_Paye,$O126))-0.005,Pas_Arrondi))</f>
        <v>0</v>
      </c>
      <c r="R126" s="22" t="n">
        <f aca="false">IF(OR($A126="",N(M126)=0),0,CEILING(M126*(1+IF($O126="",Taux_Jur,$O126))-0.005,Pas_Arrondi))</f>
        <v>0</v>
      </c>
      <c r="S126" s="22" t="n">
        <f aca="false">IF(OR($A126="",N(N126)=0),0,CEILING(N126*(1+IF($O126="",Taux_PA,$O126))-0.005,Pas_Arrondi))</f>
        <v>0</v>
      </c>
      <c r="T126" s="22" t="str">
        <f aca="false">IF($A126="","",SUM(K126:N126))</f>
        <v/>
      </c>
      <c r="U126" s="22" t="str">
        <f aca="false">IF($A126="","",SUM(P126:S126))</f>
        <v/>
      </c>
      <c r="V126" s="22" t="str">
        <f aca="false">IF($A126="","",U126-T126)</f>
        <v/>
      </c>
      <c r="W126" s="23" t="str">
        <f aca="false">IF(OR($A126="",N(T126)=0),"",V126/T126)</f>
        <v/>
      </c>
      <c r="X126" s="18"/>
      <c r="Y126" s="18"/>
    </row>
    <row r="127" customFormat="false" ht="15" hidden="false" customHeight="false" outlineLevel="0" collapsed="false">
      <c r="A127" s="18"/>
      <c r="B127" s="18"/>
      <c r="C127" s="18"/>
      <c r="D127" s="18"/>
      <c r="E127" s="18"/>
      <c r="F127" s="18"/>
      <c r="G127" s="18"/>
      <c r="H127" s="19"/>
      <c r="I127" s="18"/>
      <c r="J127" s="18"/>
      <c r="K127" s="20"/>
      <c r="L127" s="20"/>
      <c r="M127" s="20"/>
      <c r="N127" s="20"/>
      <c r="O127" s="21"/>
      <c r="P127" s="22" t="n">
        <f aca="false">IF(OR($A127="",N(K127)=0),0,CEILING(K127*(1+IF($O127="",Taux_Compta,$O127))-0.005,Pas_Arrondi))</f>
        <v>0</v>
      </c>
      <c r="Q127" s="22" t="n">
        <f aca="false">IF(OR($A127="",N(L127)=0),0,CEILING(L127*(1+IF($O127="",Taux_Paye,$O127))-0.005,Pas_Arrondi))</f>
        <v>0</v>
      </c>
      <c r="R127" s="22" t="n">
        <f aca="false">IF(OR($A127="",N(M127)=0),0,CEILING(M127*(1+IF($O127="",Taux_Jur,$O127))-0.005,Pas_Arrondi))</f>
        <v>0</v>
      </c>
      <c r="S127" s="22" t="n">
        <f aca="false">IF(OR($A127="",N(N127)=0),0,CEILING(N127*(1+IF($O127="",Taux_PA,$O127))-0.005,Pas_Arrondi))</f>
        <v>0</v>
      </c>
      <c r="T127" s="22" t="str">
        <f aca="false">IF($A127="","",SUM(K127:N127))</f>
        <v/>
      </c>
      <c r="U127" s="22" t="str">
        <f aca="false">IF($A127="","",SUM(P127:S127))</f>
        <v/>
      </c>
      <c r="V127" s="22" t="str">
        <f aca="false">IF($A127="","",U127-T127)</f>
        <v/>
      </c>
      <c r="W127" s="23" t="str">
        <f aca="false">IF(OR($A127="",N(T127)=0),"",V127/T127)</f>
        <v/>
      </c>
      <c r="X127" s="18"/>
      <c r="Y127" s="18"/>
    </row>
    <row r="128" customFormat="false" ht="15" hidden="false" customHeight="false" outlineLevel="0" collapsed="false">
      <c r="A128" s="18"/>
      <c r="B128" s="18"/>
      <c r="C128" s="18"/>
      <c r="D128" s="18"/>
      <c r="E128" s="18"/>
      <c r="F128" s="18"/>
      <c r="G128" s="18"/>
      <c r="H128" s="19"/>
      <c r="I128" s="18"/>
      <c r="J128" s="18"/>
      <c r="K128" s="20"/>
      <c r="L128" s="20"/>
      <c r="M128" s="20"/>
      <c r="N128" s="20"/>
      <c r="O128" s="21"/>
      <c r="P128" s="22" t="n">
        <f aca="false">IF(OR($A128="",N(K128)=0),0,CEILING(K128*(1+IF($O128="",Taux_Compta,$O128))-0.005,Pas_Arrondi))</f>
        <v>0</v>
      </c>
      <c r="Q128" s="22" t="n">
        <f aca="false">IF(OR($A128="",N(L128)=0),0,CEILING(L128*(1+IF($O128="",Taux_Paye,$O128))-0.005,Pas_Arrondi))</f>
        <v>0</v>
      </c>
      <c r="R128" s="22" t="n">
        <f aca="false">IF(OR($A128="",N(M128)=0),0,CEILING(M128*(1+IF($O128="",Taux_Jur,$O128))-0.005,Pas_Arrondi))</f>
        <v>0</v>
      </c>
      <c r="S128" s="22" t="n">
        <f aca="false">IF(OR($A128="",N(N128)=0),0,CEILING(N128*(1+IF($O128="",Taux_PA,$O128))-0.005,Pas_Arrondi))</f>
        <v>0</v>
      </c>
      <c r="T128" s="22" t="str">
        <f aca="false">IF($A128="","",SUM(K128:N128))</f>
        <v/>
      </c>
      <c r="U128" s="22" t="str">
        <f aca="false">IF($A128="","",SUM(P128:S128))</f>
        <v/>
      </c>
      <c r="V128" s="22" t="str">
        <f aca="false">IF($A128="","",U128-T128)</f>
        <v/>
      </c>
      <c r="W128" s="23" t="str">
        <f aca="false">IF(OR($A128="",N(T128)=0),"",V128/T128)</f>
        <v/>
      </c>
      <c r="X128" s="18"/>
      <c r="Y128" s="18"/>
    </row>
    <row r="129" customFormat="false" ht="15" hidden="false" customHeight="false" outlineLevel="0" collapsed="false">
      <c r="A129" s="18"/>
      <c r="B129" s="18"/>
      <c r="C129" s="18"/>
      <c r="D129" s="18"/>
      <c r="E129" s="18"/>
      <c r="F129" s="18"/>
      <c r="G129" s="18"/>
      <c r="H129" s="19"/>
      <c r="I129" s="18"/>
      <c r="J129" s="18"/>
      <c r="K129" s="20"/>
      <c r="L129" s="20"/>
      <c r="M129" s="20"/>
      <c r="N129" s="20"/>
      <c r="O129" s="21"/>
      <c r="P129" s="22" t="n">
        <f aca="false">IF(OR($A129="",N(K129)=0),0,CEILING(K129*(1+IF($O129="",Taux_Compta,$O129))-0.005,Pas_Arrondi))</f>
        <v>0</v>
      </c>
      <c r="Q129" s="22" t="n">
        <f aca="false">IF(OR($A129="",N(L129)=0),0,CEILING(L129*(1+IF($O129="",Taux_Paye,$O129))-0.005,Pas_Arrondi))</f>
        <v>0</v>
      </c>
      <c r="R129" s="22" t="n">
        <f aca="false">IF(OR($A129="",N(M129)=0),0,CEILING(M129*(1+IF($O129="",Taux_Jur,$O129))-0.005,Pas_Arrondi))</f>
        <v>0</v>
      </c>
      <c r="S129" s="22" t="n">
        <f aca="false">IF(OR($A129="",N(N129)=0),0,CEILING(N129*(1+IF($O129="",Taux_PA,$O129))-0.005,Pas_Arrondi))</f>
        <v>0</v>
      </c>
      <c r="T129" s="22" t="str">
        <f aca="false">IF($A129="","",SUM(K129:N129))</f>
        <v/>
      </c>
      <c r="U129" s="22" t="str">
        <f aca="false">IF($A129="","",SUM(P129:S129))</f>
        <v/>
      </c>
      <c r="V129" s="22" t="str">
        <f aca="false">IF($A129="","",U129-T129)</f>
        <v/>
      </c>
      <c r="W129" s="23" t="str">
        <f aca="false">IF(OR($A129="",N(T129)=0),"",V129/T129)</f>
        <v/>
      </c>
      <c r="X129" s="18"/>
      <c r="Y129" s="18"/>
    </row>
    <row r="130" customFormat="false" ht="15" hidden="false" customHeight="false" outlineLevel="0" collapsed="false">
      <c r="A130" s="18"/>
      <c r="B130" s="18"/>
      <c r="C130" s="18"/>
      <c r="D130" s="18"/>
      <c r="E130" s="18"/>
      <c r="F130" s="18"/>
      <c r="G130" s="18"/>
      <c r="H130" s="19"/>
      <c r="I130" s="18"/>
      <c r="J130" s="18"/>
      <c r="K130" s="20"/>
      <c r="L130" s="20"/>
      <c r="M130" s="20"/>
      <c r="N130" s="20"/>
      <c r="O130" s="21"/>
      <c r="P130" s="22" t="n">
        <f aca="false">IF(OR($A130="",N(K130)=0),0,CEILING(K130*(1+IF($O130="",Taux_Compta,$O130))-0.005,Pas_Arrondi))</f>
        <v>0</v>
      </c>
      <c r="Q130" s="22" t="n">
        <f aca="false">IF(OR($A130="",N(L130)=0),0,CEILING(L130*(1+IF($O130="",Taux_Paye,$O130))-0.005,Pas_Arrondi))</f>
        <v>0</v>
      </c>
      <c r="R130" s="22" t="n">
        <f aca="false">IF(OR($A130="",N(M130)=0),0,CEILING(M130*(1+IF($O130="",Taux_Jur,$O130))-0.005,Pas_Arrondi))</f>
        <v>0</v>
      </c>
      <c r="S130" s="22" t="n">
        <f aca="false">IF(OR($A130="",N(N130)=0),0,CEILING(N130*(1+IF($O130="",Taux_PA,$O130))-0.005,Pas_Arrondi))</f>
        <v>0</v>
      </c>
      <c r="T130" s="22" t="str">
        <f aca="false">IF($A130="","",SUM(K130:N130))</f>
        <v/>
      </c>
      <c r="U130" s="22" t="str">
        <f aca="false">IF($A130="","",SUM(P130:S130))</f>
        <v/>
      </c>
      <c r="V130" s="22" t="str">
        <f aca="false">IF($A130="","",U130-T130)</f>
        <v/>
      </c>
      <c r="W130" s="23" t="str">
        <f aca="false">IF(OR($A130="",N(T130)=0),"",V130/T130)</f>
        <v/>
      </c>
      <c r="X130" s="18"/>
      <c r="Y130" s="18"/>
    </row>
    <row r="131" customFormat="false" ht="15" hidden="false" customHeight="false" outlineLevel="0" collapsed="false">
      <c r="A131" s="18"/>
      <c r="B131" s="18"/>
      <c r="C131" s="18"/>
      <c r="D131" s="18"/>
      <c r="E131" s="18"/>
      <c r="F131" s="18"/>
      <c r="G131" s="18"/>
      <c r="H131" s="19"/>
      <c r="I131" s="18"/>
      <c r="J131" s="18"/>
      <c r="K131" s="20"/>
      <c r="L131" s="20"/>
      <c r="M131" s="20"/>
      <c r="N131" s="20"/>
      <c r="O131" s="21"/>
      <c r="P131" s="22" t="n">
        <f aca="false">IF(OR($A131="",N(K131)=0),0,CEILING(K131*(1+IF($O131="",Taux_Compta,$O131))-0.005,Pas_Arrondi))</f>
        <v>0</v>
      </c>
      <c r="Q131" s="22" t="n">
        <f aca="false">IF(OR($A131="",N(L131)=0),0,CEILING(L131*(1+IF($O131="",Taux_Paye,$O131))-0.005,Pas_Arrondi))</f>
        <v>0</v>
      </c>
      <c r="R131" s="22" t="n">
        <f aca="false">IF(OR($A131="",N(M131)=0),0,CEILING(M131*(1+IF($O131="",Taux_Jur,$O131))-0.005,Pas_Arrondi))</f>
        <v>0</v>
      </c>
      <c r="S131" s="22" t="n">
        <f aca="false">IF(OR($A131="",N(N131)=0),0,CEILING(N131*(1+IF($O131="",Taux_PA,$O131))-0.005,Pas_Arrondi))</f>
        <v>0</v>
      </c>
      <c r="T131" s="22" t="str">
        <f aca="false">IF($A131="","",SUM(K131:N131))</f>
        <v/>
      </c>
      <c r="U131" s="22" t="str">
        <f aca="false">IF($A131="","",SUM(P131:S131))</f>
        <v/>
      </c>
      <c r="V131" s="22" t="str">
        <f aca="false">IF($A131="","",U131-T131)</f>
        <v/>
      </c>
      <c r="W131" s="23" t="str">
        <f aca="false">IF(OR($A131="",N(T131)=0),"",V131/T131)</f>
        <v/>
      </c>
      <c r="X131" s="18"/>
      <c r="Y131" s="18"/>
    </row>
    <row r="132" customFormat="false" ht="15" hidden="false" customHeight="false" outlineLevel="0" collapsed="false">
      <c r="A132" s="18"/>
      <c r="B132" s="18"/>
      <c r="C132" s="18"/>
      <c r="D132" s="18"/>
      <c r="E132" s="18"/>
      <c r="F132" s="18"/>
      <c r="G132" s="18"/>
      <c r="H132" s="19"/>
      <c r="I132" s="18"/>
      <c r="J132" s="18"/>
      <c r="K132" s="20"/>
      <c r="L132" s="20"/>
      <c r="M132" s="20"/>
      <c r="N132" s="20"/>
      <c r="O132" s="21"/>
      <c r="P132" s="22" t="n">
        <f aca="false">IF(OR($A132="",N(K132)=0),0,CEILING(K132*(1+IF($O132="",Taux_Compta,$O132))-0.005,Pas_Arrondi))</f>
        <v>0</v>
      </c>
      <c r="Q132" s="22" t="n">
        <f aca="false">IF(OR($A132="",N(L132)=0),0,CEILING(L132*(1+IF($O132="",Taux_Paye,$O132))-0.005,Pas_Arrondi))</f>
        <v>0</v>
      </c>
      <c r="R132" s="22" t="n">
        <f aca="false">IF(OR($A132="",N(M132)=0),0,CEILING(M132*(1+IF($O132="",Taux_Jur,$O132))-0.005,Pas_Arrondi))</f>
        <v>0</v>
      </c>
      <c r="S132" s="22" t="n">
        <f aca="false">IF(OR($A132="",N(N132)=0),0,CEILING(N132*(1+IF($O132="",Taux_PA,$O132))-0.005,Pas_Arrondi))</f>
        <v>0</v>
      </c>
      <c r="T132" s="22" t="str">
        <f aca="false">IF($A132="","",SUM(K132:N132))</f>
        <v/>
      </c>
      <c r="U132" s="22" t="str">
        <f aca="false">IF($A132="","",SUM(P132:S132))</f>
        <v/>
      </c>
      <c r="V132" s="22" t="str">
        <f aca="false">IF($A132="","",U132-T132)</f>
        <v/>
      </c>
      <c r="W132" s="23" t="str">
        <f aca="false">IF(OR($A132="",N(T132)=0),"",V132/T132)</f>
        <v/>
      </c>
      <c r="X132" s="18"/>
      <c r="Y132" s="18"/>
    </row>
    <row r="133" customFormat="false" ht="15" hidden="false" customHeight="false" outlineLevel="0" collapsed="false">
      <c r="A133" s="18"/>
      <c r="B133" s="18"/>
      <c r="C133" s="18"/>
      <c r="D133" s="18"/>
      <c r="E133" s="18"/>
      <c r="F133" s="18"/>
      <c r="G133" s="18"/>
      <c r="H133" s="19"/>
      <c r="I133" s="18"/>
      <c r="J133" s="18"/>
      <c r="K133" s="20"/>
      <c r="L133" s="20"/>
      <c r="M133" s="20"/>
      <c r="N133" s="20"/>
      <c r="O133" s="21"/>
      <c r="P133" s="22" t="n">
        <f aca="false">IF(OR($A133="",N(K133)=0),0,CEILING(K133*(1+IF($O133="",Taux_Compta,$O133))-0.005,Pas_Arrondi))</f>
        <v>0</v>
      </c>
      <c r="Q133" s="22" t="n">
        <f aca="false">IF(OR($A133="",N(L133)=0),0,CEILING(L133*(1+IF($O133="",Taux_Paye,$O133))-0.005,Pas_Arrondi))</f>
        <v>0</v>
      </c>
      <c r="R133" s="22" t="n">
        <f aca="false">IF(OR($A133="",N(M133)=0),0,CEILING(M133*(1+IF($O133="",Taux_Jur,$O133))-0.005,Pas_Arrondi))</f>
        <v>0</v>
      </c>
      <c r="S133" s="22" t="n">
        <f aca="false">IF(OR($A133="",N(N133)=0),0,CEILING(N133*(1+IF($O133="",Taux_PA,$O133))-0.005,Pas_Arrondi))</f>
        <v>0</v>
      </c>
      <c r="T133" s="22" t="str">
        <f aca="false">IF($A133="","",SUM(K133:N133))</f>
        <v/>
      </c>
      <c r="U133" s="22" t="str">
        <f aca="false">IF($A133="","",SUM(P133:S133))</f>
        <v/>
      </c>
      <c r="V133" s="22" t="str">
        <f aca="false">IF($A133="","",U133-T133)</f>
        <v/>
      </c>
      <c r="W133" s="23" t="str">
        <f aca="false">IF(OR($A133="",N(T133)=0),"",V133/T133)</f>
        <v/>
      </c>
      <c r="X133" s="18"/>
      <c r="Y133" s="18"/>
    </row>
    <row r="134" customFormat="false" ht="15" hidden="false" customHeight="false" outlineLevel="0" collapsed="false">
      <c r="A134" s="18"/>
      <c r="B134" s="18"/>
      <c r="C134" s="18"/>
      <c r="D134" s="18"/>
      <c r="E134" s="18"/>
      <c r="F134" s="18"/>
      <c r="G134" s="18"/>
      <c r="H134" s="19"/>
      <c r="I134" s="18"/>
      <c r="J134" s="18"/>
      <c r="K134" s="20"/>
      <c r="L134" s="20"/>
      <c r="M134" s="20"/>
      <c r="N134" s="20"/>
      <c r="O134" s="21"/>
      <c r="P134" s="22" t="n">
        <f aca="false">IF(OR($A134="",N(K134)=0),0,CEILING(K134*(1+IF($O134="",Taux_Compta,$O134))-0.005,Pas_Arrondi))</f>
        <v>0</v>
      </c>
      <c r="Q134" s="22" t="n">
        <f aca="false">IF(OR($A134="",N(L134)=0),0,CEILING(L134*(1+IF($O134="",Taux_Paye,$O134))-0.005,Pas_Arrondi))</f>
        <v>0</v>
      </c>
      <c r="R134" s="22" t="n">
        <f aca="false">IF(OR($A134="",N(M134)=0),0,CEILING(M134*(1+IF($O134="",Taux_Jur,$O134))-0.005,Pas_Arrondi))</f>
        <v>0</v>
      </c>
      <c r="S134" s="22" t="n">
        <f aca="false">IF(OR($A134="",N(N134)=0),0,CEILING(N134*(1+IF($O134="",Taux_PA,$O134))-0.005,Pas_Arrondi))</f>
        <v>0</v>
      </c>
      <c r="T134" s="22" t="str">
        <f aca="false">IF($A134="","",SUM(K134:N134))</f>
        <v/>
      </c>
      <c r="U134" s="22" t="str">
        <f aca="false">IF($A134="","",SUM(P134:S134))</f>
        <v/>
      </c>
      <c r="V134" s="22" t="str">
        <f aca="false">IF($A134="","",U134-T134)</f>
        <v/>
      </c>
      <c r="W134" s="23" t="str">
        <f aca="false">IF(OR($A134="",N(T134)=0),"",V134/T134)</f>
        <v/>
      </c>
      <c r="X134" s="18"/>
      <c r="Y134" s="18"/>
    </row>
    <row r="135" customFormat="false" ht="15" hidden="false" customHeight="false" outlineLevel="0" collapsed="false">
      <c r="A135" s="18"/>
      <c r="B135" s="18"/>
      <c r="C135" s="18"/>
      <c r="D135" s="18"/>
      <c r="E135" s="18"/>
      <c r="F135" s="18"/>
      <c r="G135" s="18"/>
      <c r="H135" s="19"/>
      <c r="I135" s="18"/>
      <c r="J135" s="18"/>
      <c r="K135" s="20"/>
      <c r="L135" s="20"/>
      <c r="M135" s="20"/>
      <c r="N135" s="20"/>
      <c r="O135" s="21"/>
      <c r="P135" s="22" t="n">
        <f aca="false">IF(OR($A135="",N(K135)=0),0,CEILING(K135*(1+IF($O135="",Taux_Compta,$O135))-0.005,Pas_Arrondi))</f>
        <v>0</v>
      </c>
      <c r="Q135" s="22" t="n">
        <f aca="false">IF(OR($A135="",N(L135)=0),0,CEILING(L135*(1+IF($O135="",Taux_Paye,$O135))-0.005,Pas_Arrondi))</f>
        <v>0</v>
      </c>
      <c r="R135" s="22" t="n">
        <f aca="false">IF(OR($A135="",N(M135)=0),0,CEILING(M135*(1+IF($O135="",Taux_Jur,$O135))-0.005,Pas_Arrondi))</f>
        <v>0</v>
      </c>
      <c r="S135" s="22" t="n">
        <f aca="false">IF(OR($A135="",N(N135)=0),0,CEILING(N135*(1+IF($O135="",Taux_PA,$O135))-0.005,Pas_Arrondi))</f>
        <v>0</v>
      </c>
      <c r="T135" s="22" t="str">
        <f aca="false">IF($A135="","",SUM(K135:N135))</f>
        <v/>
      </c>
      <c r="U135" s="22" t="str">
        <f aca="false">IF($A135="","",SUM(P135:S135))</f>
        <v/>
      </c>
      <c r="V135" s="22" t="str">
        <f aca="false">IF($A135="","",U135-T135)</f>
        <v/>
      </c>
      <c r="W135" s="23" t="str">
        <f aca="false">IF(OR($A135="",N(T135)=0),"",V135/T135)</f>
        <v/>
      </c>
      <c r="X135" s="18"/>
      <c r="Y135" s="18"/>
    </row>
    <row r="136" customFormat="false" ht="15" hidden="false" customHeight="false" outlineLevel="0" collapsed="false">
      <c r="A136" s="18"/>
      <c r="B136" s="18"/>
      <c r="C136" s="18"/>
      <c r="D136" s="18"/>
      <c r="E136" s="18"/>
      <c r="F136" s="18"/>
      <c r="G136" s="18"/>
      <c r="H136" s="19"/>
      <c r="I136" s="18"/>
      <c r="J136" s="18"/>
      <c r="K136" s="20"/>
      <c r="L136" s="20"/>
      <c r="M136" s="20"/>
      <c r="N136" s="20"/>
      <c r="O136" s="21"/>
      <c r="P136" s="22" t="n">
        <f aca="false">IF(OR($A136="",N(K136)=0),0,CEILING(K136*(1+IF($O136="",Taux_Compta,$O136))-0.005,Pas_Arrondi))</f>
        <v>0</v>
      </c>
      <c r="Q136" s="22" t="n">
        <f aca="false">IF(OR($A136="",N(L136)=0),0,CEILING(L136*(1+IF($O136="",Taux_Paye,$O136))-0.005,Pas_Arrondi))</f>
        <v>0</v>
      </c>
      <c r="R136" s="22" t="n">
        <f aca="false">IF(OR($A136="",N(M136)=0),0,CEILING(M136*(1+IF($O136="",Taux_Jur,$O136))-0.005,Pas_Arrondi))</f>
        <v>0</v>
      </c>
      <c r="S136" s="22" t="n">
        <f aca="false">IF(OR($A136="",N(N136)=0),0,CEILING(N136*(1+IF($O136="",Taux_PA,$O136))-0.005,Pas_Arrondi))</f>
        <v>0</v>
      </c>
      <c r="T136" s="22" t="str">
        <f aca="false">IF($A136="","",SUM(K136:N136))</f>
        <v/>
      </c>
      <c r="U136" s="22" t="str">
        <f aca="false">IF($A136="","",SUM(P136:S136))</f>
        <v/>
      </c>
      <c r="V136" s="22" t="str">
        <f aca="false">IF($A136="","",U136-T136)</f>
        <v/>
      </c>
      <c r="W136" s="23" t="str">
        <f aca="false">IF(OR($A136="",N(T136)=0),"",V136/T136)</f>
        <v/>
      </c>
      <c r="X136" s="18"/>
      <c r="Y136" s="18"/>
    </row>
    <row r="137" customFormat="false" ht="15" hidden="false" customHeight="false" outlineLevel="0" collapsed="false">
      <c r="A137" s="18"/>
      <c r="B137" s="18"/>
      <c r="C137" s="18"/>
      <c r="D137" s="18"/>
      <c r="E137" s="18"/>
      <c r="F137" s="18"/>
      <c r="G137" s="18"/>
      <c r="H137" s="19"/>
      <c r="I137" s="18"/>
      <c r="J137" s="18"/>
      <c r="K137" s="20"/>
      <c r="L137" s="20"/>
      <c r="M137" s="20"/>
      <c r="N137" s="20"/>
      <c r="O137" s="21"/>
      <c r="P137" s="22" t="n">
        <f aca="false">IF(OR($A137="",N(K137)=0),0,CEILING(K137*(1+IF($O137="",Taux_Compta,$O137))-0.005,Pas_Arrondi))</f>
        <v>0</v>
      </c>
      <c r="Q137" s="22" t="n">
        <f aca="false">IF(OR($A137="",N(L137)=0),0,CEILING(L137*(1+IF($O137="",Taux_Paye,$O137))-0.005,Pas_Arrondi))</f>
        <v>0</v>
      </c>
      <c r="R137" s="22" t="n">
        <f aca="false">IF(OR($A137="",N(M137)=0),0,CEILING(M137*(1+IF($O137="",Taux_Jur,$O137))-0.005,Pas_Arrondi))</f>
        <v>0</v>
      </c>
      <c r="S137" s="22" t="n">
        <f aca="false">IF(OR($A137="",N(N137)=0),0,CEILING(N137*(1+IF($O137="",Taux_PA,$O137))-0.005,Pas_Arrondi))</f>
        <v>0</v>
      </c>
      <c r="T137" s="22" t="str">
        <f aca="false">IF($A137="","",SUM(K137:N137))</f>
        <v/>
      </c>
      <c r="U137" s="22" t="str">
        <f aca="false">IF($A137="","",SUM(P137:S137))</f>
        <v/>
      </c>
      <c r="V137" s="22" t="str">
        <f aca="false">IF($A137="","",U137-T137)</f>
        <v/>
      </c>
      <c r="W137" s="23" t="str">
        <f aca="false">IF(OR($A137="",N(T137)=0),"",V137/T137)</f>
        <v/>
      </c>
      <c r="X137" s="18"/>
      <c r="Y137" s="18"/>
    </row>
    <row r="138" customFormat="false" ht="15" hidden="false" customHeight="false" outlineLevel="0" collapsed="false">
      <c r="A138" s="18"/>
      <c r="B138" s="18"/>
      <c r="C138" s="18"/>
      <c r="D138" s="18"/>
      <c r="E138" s="18"/>
      <c r="F138" s="18"/>
      <c r="G138" s="18"/>
      <c r="H138" s="19"/>
      <c r="I138" s="18"/>
      <c r="J138" s="18"/>
      <c r="K138" s="20"/>
      <c r="L138" s="20"/>
      <c r="M138" s="20"/>
      <c r="N138" s="20"/>
      <c r="O138" s="21"/>
      <c r="P138" s="22" t="n">
        <f aca="false">IF(OR($A138="",N(K138)=0),0,CEILING(K138*(1+IF($O138="",Taux_Compta,$O138))-0.005,Pas_Arrondi))</f>
        <v>0</v>
      </c>
      <c r="Q138" s="22" t="n">
        <f aca="false">IF(OR($A138="",N(L138)=0),0,CEILING(L138*(1+IF($O138="",Taux_Paye,$O138))-0.005,Pas_Arrondi))</f>
        <v>0</v>
      </c>
      <c r="R138" s="22" t="n">
        <f aca="false">IF(OR($A138="",N(M138)=0),0,CEILING(M138*(1+IF($O138="",Taux_Jur,$O138))-0.005,Pas_Arrondi))</f>
        <v>0</v>
      </c>
      <c r="S138" s="22" t="n">
        <f aca="false">IF(OR($A138="",N(N138)=0),0,CEILING(N138*(1+IF($O138="",Taux_PA,$O138))-0.005,Pas_Arrondi))</f>
        <v>0</v>
      </c>
      <c r="T138" s="22" t="str">
        <f aca="false">IF($A138="","",SUM(K138:N138))</f>
        <v/>
      </c>
      <c r="U138" s="22" t="str">
        <f aca="false">IF($A138="","",SUM(P138:S138))</f>
        <v/>
      </c>
      <c r="V138" s="22" t="str">
        <f aca="false">IF($A138="","",U138-T138)</f>
        <v/>
      </c>
      <c r="W138" s="23" t="str">
        <f aca="false">IF(OR($A138="",N(T138)=0),"",V138/T138)</f>
        <v/>
      </c>
      <c r="X138" s="18"/>
      <c r="Y138" s="18"/>
    </row>
    <row r="139" customFormat="false" ht="15" hidden="false" customHeight="false" outlineLevel="0" collapsed="false">
      <c r="A139" s="18"/>
      <c r="B139" s="18"/>
      <c r="C139" s="18"/>
      <c r="D139" s="18"/>
      <c r="E139" s="18"/>
      <c r="F139" s="18"/>
      <c r="G139" s="18"/>
      <c r="H139" s="19"/>
      <c r="I139" s="18"/>
      <c r="J139" s="18"/>
      <c r="K139" s="20"/>
      <c r="L139" s="20"/>
      <c r="M139" s="20"/>
      <c r="N139" s="20"/>
      <c r="O139" s="21"/>
      <c r="P139" s="22" t="n">
        <f aca="false">IF(OR($A139="",N(K139)=0),0,CEILING(K139*(1+IF($O139="",Taux_Compta,$O139))-0.005,Pas_Arrondi))</f>
        <v>0</v>
      </c>
      <c r="Q139" s="22" t="n">
        <f aca="false">IF(OR($A139="",N(L139)=0),0,CEILING(L139*(1+IF($O139="",Taux_Paye,$O139))-0.005,Pas_Arrondi))</f>
        <v>0</v>
      </c>
      <c r="R139" s="22" t="n">
        <f aca="false">IF(OR($A139="",N(M139)=0),0,CEILING(M139*(1+IF($O139="",Taux_Jur,$O139))-0.005,Pas_Arrondi))</f>
        <v>0</v>
      </c>
      <c r="S139" s="22" t="n">
        <f aca="false">IF(OR($A139="",N(N139)=0),0,CEILING(N139*(1+IF($O139="",Taux_PA,$O139))-0.005,Pas_Arrondi))</f>
        <v>0</v>
      </c>
      <c r="T139" s="22" t="str">
        <f aca="false">IF($A139="","",SUM(K139:N139))</f>
        <v/>
      </c>
      <c r="U139" s="22" t="str">
        <f aca="false">IF($A139="","",SUM(P139:S139))</f>
        <v/>
      </c>
      <c r="V139" s="22" t="str">
        <f aca="false">IF($A139="","",U139-T139)</f>
        <v/>
      </c>
      <c r="W139" s="23" t="str">
        <f aca="false">IF(OR($A139="",N(T139)=0),"",V139/T139)</f>
        <v/>
      </c>
      <c r="X139" s="18"/>
      <c r="Y139" s="18"/>
    </row>
    <row r="140" customFormat="false" ht="15" hidden="false" customHeight="false" outlineLevel="0" collapsed="false">
      <c r="A140" s="18"/>
      <c r="B140" s="18"/>
      <c r="C140" s="18"/>
      <c r="D140" s="18"/>
      <c r="E140" s="18"/>
      <c r="F140" s="18"/>
      <c r="G140" s="18"/>
      <c r="H140" s="19"/>
      <c r="I140" s="18"/>
      <c r="J140" s="18"/>
      <c r="K140" s="20"/>
      <c r="L140" s="20"/>
      <c r="M140" s="20"/>
      <c r="N140" s="20"/>
      <c r="O140" s="21"/>
      <c r="P140" s="22" t="n">
        <f aca="false">IF(OR($A140="",N(K140)=0),0,CEILING(K140*(1+IF($O140="",Taux_Compta,$O140))-0.005,Pas_Arrondi))</f>
        <v>0</v>
      </c>
      <c r="Q140" s="22" t="n">
        <f aca="false">IF(OR($A140="",N(L140)=0),0,CEILING(L140*(1+IF($O140="",Taux_Paye,$O140))-0.005,Pas_Arrondi))</f>
        <v>0</v>
      </c>
      <c r="R140" s="22" t="n">
        <f aca="false">IF(OR($A140="",N(M140)=0),0,CEILING(M140*(1+IF($O140="",Taux_Jur,$O140))-0.005,Pas_Arrondi))</f>
        <v>0</v>
      </c>
      <c r="S140" s="22" t="n">
        <f aca="false">IF(OR($A140="",N(N140)=0),0,CEILING(N140*(1+IF($O140="",Taux_PA,$O140))-0.005,Pas_Arrondi))</f>
        <v>0</v>
      </c>
      <c r="T140" s="22" t="str">
        <f aca="false">IF($A140="","",SUM(K140:N140))</f>
        <v/>
      </c>
      <c r="U140" s="22" t="str">
        <f aca="false">IF($A140="","",SUM(P140:S140))</f>
        <v/>
      </c>
      <c r="V140" s="22" t="str">
        <f aca="false">IF($A140="","",U140-T140)</f>
        <v/>
      </c>
      <c r="W140" s="23" t="str">
        <f aca="false">IF(OR($A140="",N(T140)=0),"",V140/T140)</f>
        <v/>
      </c>
      <c r="X140" s="18"/>
      <c r="Y140" s="18"/>
    </row>
    <row r="141" customFormat="false" ht="15" hidden="false" customHeight="false" outlineLevel="0" collapsed="false">
      <c r="A141" s="18"/>
      <c r="B141" s="18"/>
      <c r="C141" s="18"/>
      <c r="D141" s="18"/>
      <c r="E141" s="18"/>
      <c r="F141" s="18"/>
      <c r="G141" s="18"/>
      <c r="H141" s="19"/>
      <c r="I141" s="18"/>
      <c r="J141" s="18"/>
      <c r="K141" s="20"/>
      <c r="L141" s="20"/>
      <c r="M141" s="20"/>
      <c r="N141" s="20"/>
      <c r="O141" s="21"/>
      <c r="P141" s="22" t="n">
        <f aca="false">IF(OR($A141="",N(K141)=0),0,CEILING(K141*(1+IF($O141="",Taux_Compta,$O141))-0.005,Pas_Arrondi))</f>
        <v>0</v>
      </c>
      <c r="Q141" s="22" t="n">
        <f aca="false">IF(OR($A141="",N(L141)=0),0,CEILING(L141*(1+IF($O141="",Taux_Paye,$O141))-0.005,Pas_Arrondi))</f>
        <v>0</v>
      </c>
      <c r="R141" s="22" t="n">
        <f aca="false">IF(OR($A141="",N(M141)=0),0,CEILING(M141*(1+IF($O141="",Taux_Jur,$O141))-0.005,Pas_Arrondi))</f>
        <v>0</v>
      </c>
      <c r="S141" s="22" t="n">
        <f aca="false">IF(OR($A141="",N(N141)=0),0,CEILING(N141*(1+IF($O141="",Taux_PA,$O141))-0.005,Pas_Arrondi))</f>
        <v>0</v>
      </c>
      <c r="T141" s="22" t="str">
        <f aca="false">IF($A141="","",SUM(K141:N141))</f>
        <v/>
      </c>
      <c r="U141" s="22" t="str">
        <f aca="false">IF($A141="","",SUM(P141:S141))</f>
        <v/>
      </c>
      <c r="V141" s="22" t="str">
        <f aca="false">IF($A141="","",U141-T141)</f>
        <v/>
      </c>
      <c r="W141" s="23" t="str">
        <f aca="false">IF(OR($A141="",N(T141)=0),"",V141/T141)</f>
        <v/>
      </c>
      <c r="X141" s="18"/>
      <c r="Y141" s="18"/>
    </row>
    <row r="142" customFormat="false" ht="15" hidden="false" customHeight="false" outlineLevel="0" collapsed="false">
      <c r="A142" s="18"/>
      <c r="B142" s="18"/>
      <c r="C142" s="18"/>
      <c r="D142" s="18"/>
      <c r="E142" s="18"/>
      <c r="F142" s="18"/>
      <c r="G142" s="18"/>
      <c r="H142" s="19"/>
      <c r="I142" s="18"/>
      <c r="J142" s="18"/>
      <c r="K142" s="20"/>
      <c r="L142" s="20"/>
      <c r="M142" s="20"/>
      <c r="N142" s="20"/>
      <c r="O142" s="21"/>
      <c r="P142" s="22" t="n">
        <f aca="false">IF(OR($A142="",N(K142)=0),0,CEILING(K142*(1+IF($O142="",Taux_Compta,$O142))-0.005,Pas_Arrondi))</f>
        <v>0</v>
      </c>
      <c r="Q142" s="22" t="n">
        <f aca="false">IF(OR($A142="",N(L142)=0),0,CEILING(L142*(1+IF($O142="",Taux_Paye,$O142))-0.005,Pas_Arrondi))</f>
        <v>0</v>
      </c>
      <c r="R142" s="22" t="n">
        <f aca="false">IF(OR($A142="",N(M142)=0),0,CEILING(M142*(1+IF($O142="",Taux_Jur,$O142))-0.005,Pas_Arrondi))</f>
        <v>0</v>
      </c>
      <c r="S142" s="22" t="n">
        <f aca="false">IF(OR($A142="",N(N142)=0),0,CEILING(N142*(1+IF($O142="",Taux_PA,$O142))-0.005,Pas_Arrondi))</f>
        <v>0</v>
      </c>
      <c r="T142" s="22" t="str">
        <f aca="false">IF($A142="","",SUM(K142:N142))</f>
        <v/>
      </c>
      <c r="U142" s="22" t="str">
        <f aca="false">IF($A142="","",SUM(P142:S142))</f>
        <v/>
      </c>
      <c r="V142" s="22" t="str">
        <f aca="false">IF($A142="","",U142-T142)</f>
        <v/>
      </c>
      <c r="W142" s="23" t="str">
        <f aca="false">IF(OR($A142="",N(T142)=0),"",V142/T142)</f>
        <v/>
      </c>
      <c r="X142" s="18"/>
      <c r="Y142" s="18"/>
    </row>
    <row r="143" customFormat="false" ht="15" hidden="false" customHeight="false" outlineLevel="0" collapsed="false">
      <c r="A143" s="18"/>
      <c r="B143" s="18"/>
      <c r="C143" s="18"/>
      <c r="D143" s="18"/>
      <c r="E143" s="18"/>
      <c r="F143" s="18"/>
      <c r="G143" s="18"/>
      <c r="H143" s="19"/>
      <c r="I143" s="18"/>
      <c r="J143" s="18"/>
      <c r="K143" s="20"/>
      <c r="L143" s="20"/>
      <c r="M143" s="20"/>
      <c r="N143" s="20"/>
      <c r="O143" s="21"/>
      <c r="P143" s="22" t="n">
        <f aca="false">IF(OR($A143="",N(K143)=0),0,CEILING(K143*(1+IF($O143="",Taux_Compta,$O143))-0.005,Pas_Arrondi))</f>
        <v>0</v>
      </c>
      <c r="Q143" s="22" t="n">
        <f aca="false">IF(OR($A143="",N(L143)=0),0,CEILING(L143*(1+IF($O143="",Taux_Paye,$O143))-0.005,Pas_Arrondi))</f>
        <v>0</v>
      </c>
      <c r="R143" s="22" t="n">
        <f aca="false">IF(OR($A143="",N(M143)=0),0,CEILING(M143*(1+IF($O143="",Taux_Jur,$O143))-0.005,Pas_Arrondi))</f>
        <v>0</v>
      </c>
      <c r="S143" s="22" t="n">
        <f aca="false">IF(OR($A143="",N(N143)=0),0,CEILING(N143*(1+IF($O143="",Taux_PA,$O143))-0.005,Pas_Arrondi))</f>
        <v>0</v>
      </c>
      <c r="T143" s="22" t="str">
        <f aca="false">IF($A143="","",SUM(K143:N143))</f>
        <v/>
      </c>
      <c r="U143" s="22" t="str">
        <f aca="false">IF($A143="","",SUM(P143:S143))</f>
        <v/>
      </c>
      <c r="V143" s="22" t="str">
        <f aca="false">IF($A143="","",U143-T143)</f>
        <v/>
      </c>
      <c r="W143" s="23" t="str">
        <f aca="false">IF(OR($A143="",N(T143)=0),"",V143/T143)</f>
        <v/>
      </c>
      <c r="X143" s="18"/>
      <c r="Y143" s="18"/>
    </row>
    <row r="144" customFormat="false" ht="15" hidden="false" customHeight="false" outlineLevel="0" collapsed="false">
      <c r="A144" s="18"/>
      <c r="B144" s="18"/>
      <c r="C144" s="18"/>
      <c r="D144" s="18"/>
      <c r="E144" s="18"/>
      <c r="F144" s="18"/>
      <c r="G144" s="18"/>
      <c r="H144" s="19"/>
      <c r="I144" s="18"/>
      <c r="J144" s="18"/>
      <c r="K144" s="20"/>
      <c r="L144" s="20"/>
      <c r="M144" s="20"/>
      <c r="N144" s="20"/>
      <c r="O144" s="21"/>
      <c r="P144" s="22" t="n">
        <f aca="false">IF(OR($A144="",N(K144)=0),0,CEILING(K144*(1+IF($O144="",Taux_Compta,$O144))-0.005,Pas_Arrondi))</f>
        <v>0</v>
      </c>
      <c r="Q144" s="22" t="n">
        <f aca="false">IF(OR($A144="",N(L144)=0),0,CEILING(L144*(1+IF($O144="",Taux_Paye,$O144))-0.005,Pas_Arrondi))</f>
        <v>0</v>
      </c>
      <c r="R144" s="22" t="n">
        <f aca="false">IF(OR($A144="",N(M144)=0),0,CEILING(M144*(1+IF($O144="",Taux_Jur,$O144))-0.005,Pas_Arrondi))</f>
        <v>0</v>
      </c>
      <c r="S144" s="22" t="n">
        <f aca="false">IF(OR($A144="",N(N144)=0),0,CEILING(N144*(1+IF($O144="",Taux_PA,$O144))-0.005,Pas_Arrondi))</f>
        <v>0</v>
      </c>
      <c r="T144" s="22" t="str">
        <f aca="false">IF($A144="","",SUM(K144:N144))</f>
        <v/>
      </c>
      <c r="U144" s="22" t="str">
        <f aca="false">IF($A144="","",SUM(P144:S144))</f>
        <v/>
      </c>
      <c r="V144" s="22" t="str">
        <f aca="false">IF($A144="","",U144-T144)</f>
        <v/>
      </c>
      <c r="W144" s="23" t="str">
        <f aca="false">IF(OR($A144="",N(T144)=0),"",V144/T144)</f>
        <v/>
      </c>
      <c r="X144" s="18"/>
      <c r="Y144" s="18"/>
    </row>
    <row r="145" customFormat="false" ht="15" hidden="false" customHeight="false" outlineLevel="0" collapsed="false">
      <c r="A145" s="18"/>
      <c r="B145" s="18"/>
      <c r="C145" s="18"/>
      <c r="D145" s="18"/>
      <c r="E145" s="18"/>
      <c r="F145" s="18"/>
      <c r="G145" s="18"/>
      <c r="H145" s="19"/>
      <c r="I145" s="18"/>
      <c r="J145" s="18"/>
      <c r="K145" s="20"/>
      <c r="L145" s="20"/>
      <c r="M145" s="20"/>
      <c r="N145" s="20"/>
      <c r="O145" s="21"/>
      <c r="P145" s="22" t="n">
        <f aca="false">IF(OR($A145="",N(K145)=0),0,CEILING(K145*(1+IF($O145="",Taux_Compta,$O145))-0.005,Pas_Arrondi))</f>
        <v>0</v>
      </c>
      <c r="Q145" s="22" t="n">
        <f aca="false">IF(OR($A145="",N(L145)=0),0,CEILING(L145*(1+IF($O145="",Taux_Paye,$O145))-0.005,Pas_Arrondi))</f>
        <v>0</v>
      </c>
      <c r="R145" s="22" t="n">
        <f aca="false">IF(OR($A145="",N(M145)=0),0,CEILING(M145*(1+IF($O145="",Taux_Jur,$O145))-0.005,Pas_Arrondi))</f>
        <v>0</v>
      </c>
      <c r="S145" s="22" t="n">
        <f aca="false">IF(OR($A145="",N(N145)=0),0,CEILING(N145*(1+IF($O145="",Taux_PA,$O145))-0.005,Pas_Arrondi))</f>
        <v>0</v>
      </c>
      <c r="T145" s="22" t="str">
        <f aca="false">IF($A145="","",SUM(K145:N145))</f>
        <v/>
      </c>
      <c r="U145" s="22" t="str">
        <f aca="false">IF($A145="","",SUM(P145:S145))</f>
        <v/>
      </c>
      <c r="V145" s="22" t="str">
        <f aca="false">IF($A145="","",U145-T145)</f>
        <v/>
      </c>
      <c r="W145" s="23" t="str">
        <f aca="false">IF(OR($A145="",N(T145)=0),"",V145/T145)</f>
        <v/>
      </c>
      <c r="X145" s="18"/>
      <c r="Y145" s="18"/>
    </row>
    <row r="146" customFormat="false" ht="15" hidden="false" customHeight="false" outlineLevel="0" collapsed="false">
      <c r="A146" s="18"/>
      <c r="B146" s="18"/>
      <c r="C146" s="18"/>
      <c r="D146" s="18"/>
      <c r="E146" s="18"/>
      <c r="F146" s="18"/>
      <c r="G146" s="18"/>
      <c r="H146" s="19"/>
      <c r="I146" s="18"/>
      <c r="J146" s="18"/>
      <c r="K146" s="20"/>
      <c r="L146" s="20"/>
      <c r="M146" s="20"/>
      <c r="N146" s="20"/>
      <c r="O146" s="21"/>
      <c r="P146" s="22" t="n">
        <f aca="false">IF(OR($A146="",N(K146)=0),0,CEILING(K146*(1+IF($O146="",Taux_Compta,$O146))-0.005,Pas_Arrondi))</f>
        <v>0</v>
      </c>
      <c r="Q146" s="22" t="n">
        <f aca="false">IF(OR($A146="",N(L146)=0),0,CEILING(L146*(1+IF($O146="",Taux_Paye,$O146))-0.005,Pas_Arrondi))</f>
        <v>0</v>
      </c>
      <c r="R146" s="22" t="n">
        <f aca="false">IF(OR($A146="",N(M146)=0),0,CEILING(M146*(1+IF($O146="",Taux_Jur,$O146))-0.005,Pas_Arrondi))</f>
        <v>0</v>
      </c>
      <c r="S146" s="22" t="n">
        <f aca="false">IF(OR($A146="",N(N146)=0),0,CEILING(N146*(1+IF($O146="",Taux_PA,$O146))-0.005,Pas_Arrondi))</f>
        <v>0</v>
      </c>
      <c r="T146" s="22" t="str">
        <f aca="false">IF($A146="","",SUM(K146:N146))</f>
        <v/>
      </c>
      <c r="U146" s="22" t="str">
        <f aca="false">IF($A146="","",SUM(P146:S146))</f>
        <v/>
      </c>
      <c r="V146" s="22" t="str">
        <f aca="false">IF($A146="","",U146-T146)</f>
        <v/>
      </c>
      <c r="W146" s="23" t="str">
        <f aca="false">IF(OR($A146="",N(T146)=0),"",V146/T146)</f>
        <v/>
      </c>
      <c r="X146" s="18"/>
      <c r="Y146" s="18"/>
    </row>
    <row r="147" customFormat="false" ht="15" hidden="false" customHeight="false" outlineLevel="0" collapsed="false">
      <c r="A147" s="18"/>
      <c r="B147" s="18"/>
      <c r="C147" s="18"/>
      <c r="D147" s="18"/>
      <c r="E147" s="18"/>
      <c r="F147" s="18"/>
      <c r="G147" s="18"/>
      <c r="H147" s="19"/>
      <c r="I147" s="18"/>
      <c r="J147" s="18"/>
      <c r="K147" s="20"/>
      <c r="L147" s="20"/>
      <c r="M147" s="20"/>
      <c r="N147" s="20"/>
      <c r="O147" s="21"/>
      <c r="P147" s="22" t="n">
        <f aca="false">IF(OR($A147="",N(K147)=0),0,CEILING(K147*(1+IF($O147="",Taux_Compta,$O147))-0.005,Pas_Arrondi))</f>
        <v>0</v>
      </c>
      <c r="Q147" s="22" t="n">
        <f aca="false">IF(OR($A147="",N(L147)=0),0,CEILING(L147*(1+IF($O147="",Taux_Paye,$O147))-0.005,Pas_Arrondi))</f>
        <v>0</v>
      </c>
      <c r="R147" s="22" t="n">
        <f aca="false">IF(OR($A147="",N(M147)=0),0,CEILING(M147*(1+IF($O147="",Taux_Jur,$O147))-0.005,Pas_Arrondi))</f>
        <v>0</v>
      </c>
      <c r="S147" s="22" t="n">
        <f aca="false">IF(OR($A147="",N(N147)=0),0,CEILING(N147*(1+IF($O147="",Taux_PA,$O147))-0.005,Pas_Arrondi))</f>
        <v>0</v>
      </c>
      <c r="T147" s="22" t="str">
        <f aca="false">IF($A147="","",SUM(K147:N147))</f>
        <v/>
      </c>
      <c r="U147" s="22" t="str">
        <f aca="false">IF($A147="","",SUM(P147:S147))</f>
        <v/>
      </c>
      <c r="V147" s="22" t="str">
        <f aca="false">IF($A147="","",U147-T147)</f>
        <v/>
      </c>
      <c r="W147" s="23" t="str">
        <f aca="false">IF(OR($A147="",N(T147)=0),"",V147/T147)</f>
        <v/>
      </c>
      <c r="X147" s="18"/>
      <c r="Y147" s="18"/>
    </row>
    <row r="148" customFormat="false" ht="15" hidden="false" customHeight="false" outlineLevel="0" collapsed="false">
      <c r="A148" s="18"/>
      <c r="B148" s="18"/>
      <c r="C148" s="18"/>
      <c r="D148" s="18"/>
      <c r="E148" s="18"/>
      <c r="F148" s="18"/>
      <c r="G148" s="18"/>
      <c r="H148" s="19"/>
      <c r="I148" s="18"/>
      <c r="J148" s="18"/>
      <c r="K148" s="20"/>
      <c r="L148" s="20"/>
      <c r="M148" s="20"/>
      <c r="N148" s="20"/>
      <c r="O148" s="21"/>
      <c r="P148" s="22" t="n">
        <f aca="false">IF(OR($A148="",N(K148)=0),0,CEILING(K148*(1+IF($O148="",Taux_Compta,$O148))-0.005,Pas_Arrondi))</f>
        <v>0</v>
      </c>
      <c r="Q148" s="22" t="n">
        <f aca="false">IF(OR($A148="",N(L148)=0),0,CEILING(L148*(1+IF($O148="",Taux_Paye,$O148))-0.005,Pas_Arrondi))</f>
        <v>0</v>
      </c>
      <c r="R148" s="22" t="n">
        <f aca="false">IF(OR($A148="",N(M148)=0),0,CEILING(M148*(1+IF($O148="",Taux_Jur,$O148))-0.005,Pas_Arrondi))</f>
        <v>0</v>
      </c>
      <c r="S148" s="22" t="n">
        <f aca="false">IF(OR($A148="",N(N148)=0),0,CEILING(N148*(1+IF($O148="",Taux_PA,$O148))-0.005,Pas_Arrondi))</f>
        <v>0</v>
      </c>
      <c r="T148" s="22" t="str">
        <f aca="false">IF($A148="","",SUM(K148:N148))</f>
        <v/>
      </c>
      <c r="U148" s="22" t="str">
        <f aca="false">IF($A148="","",SUM(P148:S148))</f>
        <v/>
      </c>
      <c r="V148" s="22" t="str">
        <f aca="false">IF($A148="","",U148-T148)</f>
        <v/>
      </c>
      <c r="W148" s="23" t="str">
        <f aca="false">IF(OR($A148="",N(T148)=0),"",V148/T148)</f>
        <v/>
      </c>
      <c r="X148" s="18"/>
      <c r="Y148" s="18"/>
    </row>
    <row r="149" customFormat="false" ht="15" hidden="false" customHeight="false" outlineLevel="0" collapsed="false">
      <c r="A149" s="18"/>
      <c r="B149" s="18"/>
      <c r="C149" s="18"/>
      <c r="D149" s="18"/>
      <c r="E149" s="18"/>
      <c r="F149" s="18"/>
      <c r="G149" s="18"/>
      <c r="H149" s="19"/>
      <c r="I149" s="18"/>
      <c r="J149" s="18"/>
      <c r="K149" s="20"/>
      <c r="L149" s="20"/>
      <c r="M149" s="20"/>
      <c r="N149" s="20"/>
      <c r="O149" s="21"/>
      <c r="P149" s="22" t="n">
        <f aca="false">IF(OR($A149="",N(K149)=0),0,CEILING(K149*(1+IF($O149="",Taux_Compta,$O149))-0.005,Pas_Arrondi))</f>
        <v>0</v>
      </c>
      <c r="Q149" s="22" t="n">
        <f aca="false">IF(OR($A149="",N(L149)=0),0,CEILING(L149*(1+IF($O149="",Taux_Paye,$O149))-0.005,Pas_Arrondi))</f>
        <v>0</v>
      </c>
      <c r="R149" s="22" t="n">
        <f aca="false">IF(OR($A149="",N(M149)=0),0,CEILING(M149*(1+IF($O149="",Taux_Jur,$O149))-0.005,Pas_Arrondi))</f>
        <v>0</v>
      </c>
      <c r="S149" s="22" t="n">
        <f aca="false">IF(OR($A149="",N(N149)=0),0,CEILING(N149*(1+IF($O149="",Taux_PA,$O149))-0.005,Pas_Arrondi))</f>
        <v>0</v>
      </c>
      <c r="T149" s="22" t="str">
        <f aca="false">IF($A149="","",SUM(K149:N149))</f>
        <v/>
      </c>
      <c r="U149" s="22" t="str">
        <f aca="false">IF($A149="","",SUM(P149:S149))</f>
        <v/>
      </c>
      <c r="V149" s="22" t="str">
        <f aca="false">IF($A149="","",U149-T149)</f>
        <v/>
      </c>
      <c r="W149" s="23" t="str">
        <f aca="false">IF(OR($A149="",N(T149)=0),"",V149/T149)</f>
        <v/>
      </c>
      <c r="X149" s="18"/>
      <c r="Y149" s="18"/>
    </row>
    <row r="150" customFormat="false" ht="15" hidden="false" customHeight="false" outlineLevel="0" collapsed="false">
      <c r="A150" s="18"/>
      <c r="B150" s="18"/>
      <c r="C150" s="18"/>
      <c r="D150" s="18"/>
      <c r="E150" s="18"/>
      <c r="F150" s="18"/>
      <c r="G150" s="18"/>
      <c r="H150" s="19"/>
      <c r="I150" s="18"/>
      <c r="J150" s="18"/>
      <c r="K150" s="20"/>
      <c r="L150" s="20"/>
      <c r="M150" s="20"/>
      <c r="N150" s="20"/>
      <c r="O150" s="21"/>
      <c r="P150" s="22" t="n">
        <f aca="false">IF(OR($A150="",N(K150)=0),0,CEILING(K150*(1+IF($O150="",Taux_Compta,$O150))-0.005,Pas_Arrondi))</f>
        <v>0</v>
      </c>
      <c r="Q150" s="22" t="n">
        <f aca="false">IF(OR($A150="",N(L150)=0),0,CEILING(L150*(1+IF($O150="",Taux_Paye,$O150))-0.005,Pas_Arrondi))</f>
        <v>0</v>
      </c>
      <c r="R150" s="22" t="n">
        <f aca="false">IF(OR($A150="",N(M150)=0),0,CEILING(M150*(1+IF($O150="",Taux_Jur,$O150))-0.005,Pas_Arrondi))</f>
        <v>0</v>
      </c>
      <c r="S150" s="22" t="n">
        <f aca="false">IF(OR($A150="",N(N150)=0),0,CEILING(N150*(1+IF($O150="",Taux_PA,$O150))-0.005,Pas_Arrondi))</f>
        <v>0</v>
      </c>
      <c r="T150" s="22" t="str">
        <f aca="false">IF($A150="","",SUM(K150:N150))</f>
        <v/>
      </c>
      <c r="U150" s="22" t="str">
        <f aca="false">IF($A150="","",SUM(P150:S150))</f>
        <v/>
      </c>
      <c r="V150" s="22" t="str">
        <f aca="false">IF($A150="","",U150-T150)</f>
        <v/>
      </c>
      <c r="W150" s="23" t="str">
        <f aca="false">IF(OR($A150="",N(T150)=0),"",V150/T150)</f>
        <v/>
      </c>
      <c r="X150" s="18"/>
      <c r="Y150" s="18"/>
    </row>
    <row r="151" customFormat="false" ht="15" hidden="false" customHeight="false" outlineLevel="0" collapsed="false">
      <c r="A151" s="18"/>
      <c r="B151" s="18"/>
      <c r="C151" s="18"/>
      <c r="D151" s="18"/>
      <c r="E151" s="18"/>
      <c r="F151" s="18"/>
      <c r="G151" s="18"/>
      <c r="H151" s="19"/>
      <c r="I151" s="18"/>
      <c r="J151" s="18"/>
      <c r="K151" s="20"/>
      <c r="L151" s="20"/>
      <c r="M151" s="20"/>
      <c r="N151" s="20"/>
      <c r="O151" s="21"/>
      <c r="P151" s="22" t="n">
        <f aca="false">IF(OR($A151="",N(K151)=0),0,CEILING(K151*(1+IF($O151="",Taux_Compta,$O151))-0.005,Pas_Arrondi))</f>
        <v>0</v>
      </c>
      <c r="Q151" s="22" t="n">
        <f aca="false">IF(OR($A151="",N(L151)=0),0,CEILING(L151*(1+IF($O151="",Taux_Paye,$O151))-0.005,Pas_Arrondi))</f>
        <v>0</v>
      </c>
      <c r="R151" s="22" t="n">
        <f aca="false">IF(OR($A151="",N(M151)=0),0,CEILING(M151*(1+IF($O151="",Taux_Jur,$O151))-0.005,Pas_Arrondi))</f>
        <v>0</v>
      </c>
      <c r="S151" s="22" t="n">
        <f aca="false">IF(OR($A151="",N(N151)=0),0,CEILING(N151*(1+IF($O151="",Taux_PA,$O151))-0.005,Pas_Arrondi))</f>
        <v>0</v>
      </c>
      <c r="T151" s="22" t="str">
        <f aca="false">IF($A151="","",SUM(K151:N151))</f>
        <v/>
      </c>
      <c r="U151" s="22" t="str">
        <f aca="false">IF($A151="","",SUM(P151:S151))</f>
        <v/>
      </c>
      <c r="V151" s="22" t="str">
        <f aca="false">IF($A151="","",U151-T151)</f>
        <v/>
      </c>
      <c r="W151" s="23" t="str">
        <f aca="false">IF(OR($A151="",N(T151)=0),"",V151/T151)</f>
        <v/>
      </c>
      <c r="X151" s="18"/>
      <c r="Y151" s="18"/>
    </row>
    <row r="152" customFormat="false" ht="15" hidden="false" customHeight="false" outlineLevel="0" collapsed="false">
      <c r="A152" s="18"/>
      <c r="B152" s="18"/>
      <c r="C152" s="18"/>
      <c r="D152" s="18"/>
      <c r="E152" s="18"/>
      <c r="F152" s="18"/>
      <c r="G152" s="18"/>
      <c r="H152" s="19"/>
      <c r="I152" s="18"/>
      <c r="J152" s="18"/>
      <c r="K152" s="20"/>
      <c r="L152" s="20"/>
      <c r="M152" s="20"/>
      <c r="N152" s="20"/>
      <c r="O152" s="21"/>
      <c r="P152" s="22" t="n">
        <f aca="false">IF(OR($A152="",N(K152)=0),0,CEILING(K152*(1+IF($O152="",Taux_Compta,$O152))-0.005,Pas_Arrondi))</f>
        <v>0</v>
      </c>
      <c r="Q152" s="22" t="n">
        <f aca="false">IF(OR($A152="",N(L152)=0),0,CEILING(L152*(1+IF($O152="",Taux_Paye,$O152))-0.005,Pas_Arrondi))</f>
        <v>0</v>
      </c>
      <c r="R152" s="22" t="n">
        <f aca="false">IF(OR($A152="",N(M152)=0),0,CEILING(M152*(1+IF($O152="",Taux_Jur,$O152))-0.005,Pas_Arrondi))</f>
        <v>0</v>
      </c>
      <c r="S152" s="22" t="n">
        <f aca="false">IF(OR($A152="",N(N152)=0),0,CEILING(N152*(1+IF($O152="",Taux_PA,$O152))-0.005,Pas_Arrondi))</f>
        <v>0</v>
      </c>
      <c r="T152" s="22" t="str">
        <f aca="false">IF($A152="","",SUM(K152:N152))</f>
        <v/>
      </c>
      <c r="U152" s="22" t="str">
        <f aca="false">IF($A152="","",SUM(P152:S152))</f>
        <v/>
      </c>
      <c r="V152" s="22" t="str">
        <f aca="false">IF($A152="","",U152-T152)</f>
        <v/>
      </c>
      <c r="W152" s="23" t="str">
        <f aca="false">IF(OR($A152="",N(T152)=0),"",V152/T152)</f>
        <v/>
      </c>
      <c r="X152" s="18"/>
      <c r="Y152" s="18"/>
    </row>
    <row r="153" customFormat="false" ht="15" hidden="false" customHeight="false" outlineLevel="0" collapsed="false">
      <c r="A153" s="18"/>
      <c r="B153" s="18"/>
      <c r="C153" s="18"/>
      <c r="D153" s="18"/>
      <c r="E153" s="18"/>
      <c r="F153" s="18"/>
      <c r="G153" s="18"/>
      <c r="H153" s="19"/>
      <c r="I153" s="18"/>
      <c r="J153" s="18"/>
      <c r="K153" s="20"/>
      <c r="L153" s="20"/>
      <c r="M153" s="20"/>
      <c r="N153" s="20"/>
      <c r="O153" s="21"/>
      <c r="P153" s="22" t="n">
        <f aca="false">IF(OR($A153="",N(K153)=0),0,CEILING(K153*(1+IF($O153="",Taux_Compta,$O153))-0.005,Pas_Arrondi))</f>
        <v>0</v>
      </c>
      <c r="Q153" s="22" t="n">
        <f aca="false">IF(OR($A153="",N(L153)=0),0,CEILING(L153*(1+IF($O153="",Taux_Paye,$O153))-0.005,Pas_Arrondi))</f>
        <v>0</v>
      </c>
      <c r="R153" s="22" t="n">
        <f aca="false">IF(OR($A153="",N(M153)=0),0,CEILING(M153*(1+IF($O153="",Taux_Jur,$O153))-0.005,Pas_Arrondi))</f>
        <v>0</v>
      </c>
      <c r="S153" s="22" t="n">
        <f aca="false">IF(OR($A153="",N(N153)=0),0,CEILING(N153*(1+IF($O153="",Taux_PA,$O153))-0.005,Pas_Arrondi))</f>
        <v>0</v>
      </c>
      <c r="T153" s="22" t="str">
        <f aca="false">IF($A153="","",SUM(K153:N153))</f>
        <v/>
      </c>
      <c r="U153" s="22" t="str">
        <f aca="false">IF($A153="","",SUM(P153:S153))</f>
        <v/>
      </c>
      <c r="V153" s="22" t="str">
        <f aca="false">IF($A153="","",U153-T153)</f>
        <v/>
      </c>
      <c r="W153" s="23" t="str">
        <f aca="false">IF(OR($A153="",N(T153)=0),"",V153/T153)</f>
        <v/>
      </c>
      <c r="X153" s="18"/>
      <c r="Y153" s="18"/>
    </row>
    <row r="154" customFormat="false" ht="15" hidden="false" customHeight="false" outlineLevel="0" collapsed="false">
      <c r="A154" s="18"/>
      <c r="B154" s="18"/>
      <c r="C154" s="18"/>
      <c r="D154" s="18"/>
      <c r="E154" s="18"/>
      <c r="F154" s="18"/>
      <c r="G154" s="18"/>
      <c r="H154" s="19"/>
      <c r="I154" s="18"/>
      <c r="J154" s="18"/>
      <c r="K154" s="20"/>
      <c r="L154" s="20"/>
      <c r="M154" s="20"/>
      <c r="N154" s="20"/>
      <c r="O154" s="21"/>
      <c r="P154" s="22" t="n">
        <f aca="false">IF(OR($A154="",N(K154)=0),0,CEILING(K154*(1+IF($O154="",Taux_Compta,$O154))-0.005,Pas_Arrondi))</f>
        <v>0</v>
      </c>
      <c r="Q154" s="22" t="n">
        <f aca="false">IF(OR($A154="",N(L154)=0),0,CEILING(L154*(1+IF($O154="",Taux_Paye,$O154))-0.005,Pas_Arrondi))</f>
        <v>0</v>
      </c>
      <c r="R154" s="22" t="n">
        <f aca="false">IF(OR($A154="",N(M154)=0),0,CEILING(M154*(1+IF($O154="",Taux_Jur,$O154))-0.005,Pas_Arrondi))</f>
        <v>0</v>
      </c>
      <c r="S154" s="22" t="n">
        <f aca="false">IF(OR($A154="",N(N154)=0),0,CEILING(N154*(1+IF($O154="",Taux_PA,$O154))-0.005,Pas_Arrondi))</f>
        <v>0</v>
      </c>
      <c r="T154" s="22" t="str">
        <f aca="false">IF($A154="","",SUM(K154:N154))</f>
        <v/>
      </c>
      <c r="U154" s="22" t="str">
        <f aca="false">IF($A154="","",SUM(P154:S154))</f>
        <v/>
      </c>
      <c r="V154" s="22" t="str">
        <f aca="false">IF($A154="","",U154-T154)</f>
        <v/>
      </c>
      <c r="W154" s="23" t="str">
        <f aca="false">IF(OR($A154="",N(T154)=0),"",V154/T154)</f>
        <v/>
      </c>
      <c r="X154" s="18"/>
      <c r="Y154" s="18"/>
    </row>
    <row r="155" customFormat="false" ht="15" hidden="false" customHeight="false" outlineLevel="0" collapsed="false">
      <c r="A155" s="18"/>
      <c r="B155" s="18"/>
      <c r="C155" s="18"/>
      <c r="D155" s="18"/>
      <c r="E155" s="18"/>
      <c r="F155" s="18"/>
      <c r="G155" s="18"/>
      <c r="H155" s="19"/>
      <c r="I155" s="18"/>
      <c r="J155" s="18"/>
      <c r="K155" s="20"/>
      <c r="L155" s="20"/>
      <c r="M155" s="20"/>
      <c r="N155" s="20"/>
      <c r="O155" s="21"/>
      <c r="P155" s="22" t="n">
        <f aca="false">IF(OR($A155="",N(K155)=0),0,CEILING(K155*(1+IF($O155="",Taux_Compta,$O155))-0.005,Pas_Arrondi))</f>
        <v>0</v>
      </c>
      <c r="Q155" s="22" t="n">
        <f aca="false">IF(OR($A155="",N(L155)=0),0,CEILING(L155*(1+IF($O155="",Taux_Paye,$O155))-0.005,Pas_Arrondi))</f>
        <v>0</v>
      </c>
      <c r="R155" s="22" t="n">
        <f aca="false">IF(OR($A155="",N(M155)=0),0,CEILING(M155*(1+IF($O155="",Taux_Jur,$O155))-0.005,Pas_Arrondi))</f>
        <v>0</v>
      </c>
      <c r="S155" s="22" t="n">
        <f aca="false">IF(OR($A155="",N(N155)=0),0,CEILING(N155*(1+IF($O155="",Taux_PA,$O155))-0.005,Pas_Arrondi))</f>
        <v>0</v>
      </c>
      <c r="T155" s="22" t="str">
        <f aca="false">IF($A155="","",SUM(K155:N155))</f>
        <v/>
      </c>
      <c r="U155" s="22" t="str">
        <f aca="false">IF($A155="","",SUM(P155:S155))</f>
        <v/>
      </c>
      <c r="V155" s="22" t="str">
        <f aca="false">IF($A155="","",U155-T155)</f>
        <v/>
      </c>
      <c r="W155" s="23" t="str">
        <f aca="false">IF(OR($A155="",N(T155)=0),"",V155/T155)</f>
        <v/>
      </c>
      <c r="X155" s="18"/>
      <c r="Y155" s="18"/>
    </row>
    <row r="156" customFormat="false" ht="15" hidden="false" customHeight="false" outlineLevel="0" collapsed="false">
      <c r="A156" s="18"/>
      <c r="B156" s="18"/>
      <c r="C156" s="18"/>
      <c r="D156" s="18"/>
      <c r="E156" s="18"/>
      <c r="F156" s="18"/>
      <c r="G156" s="18"/>
      <c r="H156" s="19"/>
      <c r="I156" s="18"/>
      <c r="J156" s="18"/>
      <c r="K156" s="20"/>
      <c r="L156" s="20"/>
      <c r="M156" s="20"/>
      <c r="N156" s="20"/>
      <c r="O156" s="21"/>
      <c r="P156" s="22" t="n">
        <f aca="false">IF(OR($A156="",N(K156)=0),0,CEILING(K156*(1+IF($O156="",Taux_Compta,$O156))-0.005,Pas_Arrondi))</f>
        <v>0</v>
      </c>
      <c r="Q156" s="22" t="n">
        <f aca="false">IF(OR($A156="",N(L156)=0),0,CEILING(L156*(1+IF($O156="",Taux_Paye,$O156))-0.005,Pas_Arrondi))</f>
        <v>0</v>
      </c>
      <c r="R156" s="22" t="n">
        <f aca="false">IF(OR($A156="",N(M156)=0),0,CEILING(M156*(1+IF($O156="",Taux_Jur,$O156))-0.005,Pas_Arrondi))</f>
        <v>0</v>
      </c>
      <c r="S156" s="22" t="n">
        <f aca="false">IF(OR($A156="",N(N156)=0),0,CEILING(N156*(1+IF($O156="",Taux_PA,$O156))-0.005,Pas_Arrondi))</f>
        <v>0</v>
      </c>
      <c r="T156" s="22" t="str">
        <f aca="false">IF($A156="","",SUM(K156:N156))</f>
        <v/>
      </c>
      <c r="U156" s="22" t="str">
        <f aca="false">IF($A156="","",SUM(P156:S156))</f>
        <v/>
      </c>
      <c r="V156" s="22" t="str">
        <f aca="false">IF($A156="","",U156-T156)</f>
        <v/>
      </c>
      <c r="W156" s="23" t="str">
        <f aca="false">IF(OR($A156="",N(T156)=0),"",V156/T156)</f>
        <v/>
      </c>
      <c r="X156" s="18"/>
      <c r="Y156" s="18"/>
    </row>
    <row r="157" customFormat="false" ht="15" hidden="false" customHeight="false" outlineLevel="0" collapsed="false">
      <c r="A157" s="18"/>
      <c r="B157" s="18"/>
      <c r="C157" s="18"/>
      <c r="D157" s="18"/>
      <c r="E157" s="18"/>
      <c r="F157" s="18"/>
      <c r="G157" s="18"/>
      <c r="H157" s="19"/>
      <c r="I157" s="18"/>
      <c r="J157" s="18"/>
      <c r="K157" s="20"/>
      <c r="L157" s="20"/>
      <c r="M157" s="20"/>
      <c r="N157" s="20"/>
      <c r="O157" s="21"/>
      <c r="P157" s="22" t="n">
        <f aca="false">IF(OR($A157="",N(K157)=0),0,CEILING(K157*(1+IF($O157="",Taux_Compta,$O157))-0.005,Pas_Arrondi))</f>
        <v>0</v>
      </c>
      <c r="Q157" s="22" t="n">
        <f aca="false">IF(OR($A157="",N(L157)=0),0,CEILING(L157*(1+IF($O157="",Taux_Paye,$O157))-0.005,Pas_Arrondi))</f>
        <v>0</v>
      </c>
      <c r="R157" s="22" t="n">
        <f aca="false">IF(OR($A157="",N(M157)=0),0,CEILING(M157*(1+IF($O157="",Taux_Jur,$O157))-0.005,Pas_Arrondi))</f>
        <v>0</v>
      </c>
      <c r="S157" s="22" t="n">
        <f aca="false">IF(OR($A157="",N(N157)=0),0,CEILING(N157*(1+IF($O157="",Taux_PA,$O157))-0.005,Pas_Arrondi))</f>
        <v>0</v>
      </c>
      <c r="T157" s="22" t="str">
        <f aca="false">IF($A157="","",SUM(K157:N157))</f>
        <v/>
      </c>
      <c r="U157" s="22" t="str">
        <f aca="false">IF($A157="","",SUM(P157:S157))</f>
        <v/>
      </c>
      <c r="V157" s="22" t="str">
        <f aca="false">IF($A157="","",U157-T157)</f>
        <v/>
      </c>
      <c r="W157" s="23" t="str">
        <f aca="false">IF(OR($A157="",N(T157)=0),"",V157/T157)</f>
        <v/>
      </c>
      <c r="X157" s="18"/>
      <c r="Y157" s="18"/>
    </row>
    <row r="158" customFormat="false" ht="15" hidden="false" customHeight="false" outlineLevel="0" collapsed="false">
      <c r="A158" s="18"/>
      <c r="B158" s="18"/>
      <c r="C158" s="18"/>
      <c r="D158" s="18"/>
      <c r="E158" s="18"/>
      <c r="F158" s="18"/>
      <c r="G158" s="18"/>
      <c r="H158" s="19"/>
      <c r="I158" s="18"/>
      <c r="J158" s="18"/>
      <c r="K158" s="20"/>
      <c r="L158" s="20"/>
      <c r="M158" s="20"/>
      <c r="N158" s="20"/>
      <c r="O158" s="21"/>
      <c r="P158" s="22" t="n">
        <f aca="false">IF(OR($A158="",N(K158)=0),0,CEILING(K158*(1+IF($O158="",Taux_Compta,$O158))-0.005,Pas_Arrondi))</f>
        <v>0</v>
      </c>
      <c r="Q158" s="22" t="n">
        <f aca="false">IF(OR($A158="",N(L158)=0),0,CEILING(L158*(1+IF($O158="",Taux_Paye,$O158))-0.005,Pas_Arrondi))</f>
        <v>0</v>
      </c>
      <c r="R158" s="22" t="n">
        <f aca="false">IF(OR($A158="",N(M158)=0),0,CEILING(M158*(1+IF($O158="",Taux_Jur,$O158))-0.005,Pas_Arrondi))</f>
        <v>0</v>
      </c>
      <c r="S158" s="22" t="n">
        <f aca="false">IF(OR($A158="",N(N158)=0),0,CEILING(N158*(1+IF($O158="",Taux_PA,$O158))-0.005,Pas_Arrondi))</f>
        <v>0</v>
      </c>
      <c r="T158" s="22" t="str">
        <f aca="false">IF($A158="","",SUM(K158:N158))</f>
        <v/>
      </c>
      <c r="U158" s="22" t="str">
        <f aca="false">IF($A158="","",SUM(P158:S158))</f>
        <v/>
      </c>
      <c r="V158" s="22" t="str">
        <f aca="false">IF($A158="","",U158-T158)</f>
        <v/>
      </c>
      <c r="W158" s="23" t="str">
        <f aca="false">IF(OR($A158="",N(T158)=0),"",V158/T158)</f>
        <v/>
      </c>
      <c r="X158" s="18"/>
      <c r="Y158" s="18"/>
    </row>
    <row r="159" customFormat="false" ht="15" hidden="false" customHeight="false" outlineLevel="0" collapsed="false">
      <c r="A159" s="18"/>
      <c r="B159" s="18"/>
      <c r="C159" s="18"/>
      <c r="D159" s="18"/>
      <c r="E159" s="18"/>
      <c r="F159" s="18"/>
      <c r="G159" s="18"/>
      <c r="H159" s="19"/>
      <c r="I159" s="18"/>
      <c r="J159" s="18"/>
      <c r="K159" s="20"/>
      <c r="L159" s="20"/>
      <c r="M159" s="20"/>
      <c r="N159" s="20"/>
      <c r="O159" s="21"/>
      <c r="P159" s="22" t="n">
        <f aca="false">IF(OR($A159="",N(K159)=0),0,CEILING(K159*(1+IF($O159="",Taux_Compta,$O159))-0.005,Pas_Arrondi))</f>
        <v>0</v>
      </c>
      <c r="Q159" s="22" t="n">
        <f aca="false">IF(OR($A159="",N(L159)=0),0,CEILING(L159*(1+IF($O159="",Taux_Paye,$O159))-0.005,Pas_Arrondi))</f>
        <v>0</v>
      </c>
      <c r="R159" s="22" t="n">
        <f aca="false">IF(OR($A159="",N(M159)=0),0,CEILING(M159*(1+IF($O159="",Taux_Jur,$O159))-0.005,Pas_Arrondi))</f>
        <v>0</v>
      </c>
      <c r="S159" s="22" t="n">
        <f aca="false">IF(OR($A159="",N(N159)=0),0,CEILING(N159*(1+IF($O159="",Taux_PA,$O159))-0.005,Pas_Arrondi))</f>
        <v>0</v>
      </c>
      <c r="T159" s="22" t="str">
        <f aca="false">IF($A159="","",SUM(K159:N159))</f>
        <v/>
      </c>
      <c r="U159" s="22" t="str">
        <f aca="false">IF($A159="","",SUM(P159:S159))</f>
        <v/>
      </c>
      <c r="V159" s="22" t="str">
        <f aca="false">IF($A159="","",U159-T159)</f>
        <v/>
      </c>
      <c r="W159" s="23" t="str">
        <f aca="false">IF(OR($A159="",N(T159)=0),"",V159/T159)</f>
        <v/>
      </c>
      <c r="X159" s="18"/>
      <c r="Y159" s="18"/>
    </row>
    <row r="160" customFormat="false" ht="15" hidden="false" customHeight="false" outlineLevel="0" collapsed="false">
      <c r="A160" s="18"/>
      <c r="B160" s="18"/>
      <c r="C160" s="18"/>
      <c r="D160" s="18"/>
      <c r="E160" s="18"/>
      <c r="F160" s="18"/>
      <c r="G160" s="18"/>
      <c r="H160" s="19"/>
      <c r="I160" s="18"/>
      <c r="J160" s="18"/>
      <c r="K160" s="20"/>
      <c r="L160" s="20"/>
      <c r="M160" s="20"/>
      <c r="N160" s="20"/>
      <c r="O160" s="21"/>
      <c r="P160" s="22" t="n">
        <f aca="false">IF(OR($A160="",N(K160)=0),0,CEILING(K160*(1+IF($O160="",Taux_Compta,$O160))-0.005,Pas_Arrondi))</f>
        <v>0</v>
      </c>
      <c r="Q160" s="22" t="n">
        <f aca="false">IF(OR($A160="",N(L160)=0),0,CEILING(L160*(1+IF($O160="",Taux_Paye,$O160))-0.005,Pas_Arrondi))</f>
        <v>0</v>
      </c>
      <c r="R160" s="22" t="n">
        <f aca="false">IF(OR($A160="",N(M160)=0),0,CEILING(M160*(1+IF($O160="",Taux_Jur,$O160))-0.005,Pas_Arrondi))</f>
        <v>0</v>
      </c>
      <c r="S160" s="22" t="n">
        <f aca="false">IF(OR($A160="",N(N160)=0),0,CEILING(N160*(1+IF($O160="",Taux_PA,$O160))-0.005,Pas_Arrondi))</f>
        <v>0</v>
      </c>
      <c r="T160" s="22" t="str">
        <f aca="false">IF($A160="","",SUM(K160:N160))</f>
        <v/>
      </c>
      <c r="U160" s="22" t="str">
        <f aca="false">IF($A160="","",SUM(P160:S160))</f>
        <v/>
      </c>
      <c r="V160" s="22" t="str">
        <f aca="false">IF($A160="","",U160-T160)</f>
        <v/>
      </c>
      <c r="W160" s="23" t="str">
        <f aca="false">IF(OR($A160="",N(T160)=0),"",V160/T160)</f>
        <v/>
      </c>
      <c r="X160" s="18"/>
      <c r="Y160" s="18"/>
    </row>
    <row r="161" customFormat="false" ht="15" hidden="false" customHeight="false" outlineLevel="0" collapsed="false">
      <c r="A161" s="18"/>
      <c r="B161" s="18"/>
      <c r="C161" s="18"/>
      <c r="D161" s="18"/>
      <c r="E161" s="18"/>
      <c r="F161" s="18"/>
      <c r="G161" s="18"/>
      <c r="H161" s="19"/>
      <c r="I161" s="18"/>
      <c r="J161" s="18"/>
      <c r="K161" s="20"/>
      <c r="L161" s="20"/>
      <c r="M161" s="20"/>
      <c r="N161" s="20"/>
      <c r="O161" s="21"/>
      <c r="P161" s="22" t="n">
        <f aca="false">IF(OR($A161="",N(K161)=0),0,CEILING(K161*(1+IF($O161="",Taux_Compta,$O161))-0.005,Pas_Arrondi))</f>
        <v>0</v>
      </c>
      <c r="Q161" s="22" t="n">
        <f aca="false">IF(OR($A161="",N(L161)=0),0,CEILING(L161*(1+IF($O161="",Taux_Paye,$O161))-0.005,Pas_Arrondi))</f>
        <v>0</v>
      </c>
      <c r="R161" s="22" t="n">
        <f aca="false">IF(OR($A161="",N(M161)=0),0,CEILING(M161*(1+IF($O161="",Taux_Jur,$O161))-0.005,Pas_Arrondi))</f>
        <v>0</v>
      </c>
      <c r="S161" s="22" t="n">
        <f aca="false">IF(OR($A161="",N(N161)=0),0,CEILING(N161*(1+IF($O161="",Taux_PA,$O161))-0.005,Pas_Arrondi))</f>
        <v>0</v>
      </c>
      <c r="T161" s="22" t="str">
        <f aca="false">IF($A161="","",SUM(K161:N161))</f>
        <v/>
      </c>
      <c r="U161" s="22" t="str">
        <f aca="false">IF($A161="","",SUM(P161:S161))</f>
        <v/>
      </c>
      <c r="V161" s="22" t="str">
        <f aca="false">IF($A161="","",U161-T161)</f>
        <v/>
      </c>
      <c r="W161" s="23" t="str">
        <f aca="false">IF(OR($A161="",N(T161)=0),"",V161/T161)</f>
        <v/>
      </c>
      <c r="X161" s="18"/>
      <c r="Y161" s="18"/>
    </row>
    <row r="162" customFormat="false" ht="15" hidden="false" customHeight="false" outlineLevel="0" collapsed="false">
      <c r="A162" s="18"/>
      <c r="B162" s="18"/>
      <c r="C162" s="18"/>
      <c r="D162" s="18"/>
      <c r="E162" s="18"/>
      <c r="F162" s="18"/>
      <c r="G162" s="18"/>
      <c r="H162" s="19"/>
      <c r="I162" s="18"/>
      <c r="J162" s="18"/>
      <c r="K162" s="20"/>
      <c r="L162" s="20"/>
      <c r="M162" s="20"/>
      <c r="N162" s="20"/>
      <c r="O162" s="21"/>
      <c r="P162" s="22" t="n">
        <f aca="false">IF(OR($A162="",N(K162)=0),0,CEILING(K162*(1+IF($O162="",Taux_Compta,$O162))-0.005,Pas_Arrondi))</f>
        <v>0</v>
      </c>
      <c r="Q162" s="22" t="n">
        <f aca="false">IF(OR($A162="",N(L162)=0),0,CEILING(L162*(1+IF($O162="",Taux_Paye,$O162))-0.005,Pas_Arrondi))</f>
        <v>0</v>
      </c>
      <c r="R162" s="22" t="n">
        <f aca="false">IF(OR($A162="",N(M162)=0),0,CEILING(M162*(1+IF($O162="",Taux_Jur,$O162))-0.005,Pas_Arrondi))</f>
        <v>0</v>
      </c>
      <c r="S162" s="22" t="n">
        <f aca="false">IF(OR($A162="",N(N162)=0),0,CEILING(N162*(1+IF($O162="",Taux_PA,$O162))-0.005,Pas_Arrondi))</f>
        <v>0</v>
      </c>
      <c r="T162" s="22" t="str">
        <f aca="false">IF($A162="","",SUM(K162:N162))</f>
        <v/>
      </c>
      <c r="U162" s="22" t="str">
        <f aca="false">IF($A162="","",SUM(P162:S162))</f>
        <v/>
      </c>
      <c r="V162" s="22" t="str">
        <f aca="false">IF($A162="","",U162-T162)</f>
        <v/>
      </c>
      <c r="W162" s="23" t="str">
        <f aca="false">IF(OR($A162="",N(T162)=0),"",V162/T162)</f>
        <v/>
      </c>
      <c r="X162" s="18"/>
      <c r="Y162" s="18"/>
    </row>
    <row r="163" customFormat="false" ht="15" hidden="false" customHeight="false" outlineLevel="0" collapsed="false">
      <c r="A163" s="18"/>
      <c r="B163" s="18"/>
      <c r="C163" s="18"/>
      <c r="D163" s="18"/>
      <c r="E163" s="18"/>
      <c r="F163" s="18"/>
      <c r="G163" s="18"/>
      <c r="H163" s="19"/>
      <c r="I163" s="18"/>
      <c r="J163" s="18"/>
      <c r="K163" s="20"/>
      <c r="L163" s="20"/>
      <c r="M163" s="20"/>
      <c r="N163" s="20"/>
      <c r="O163" s="21"/>
      <c r="P163" s="22" t="n">
        <f aca="false">IF(OR($A163="",N(K163)=0),0,CEILING(K163*(1+IF($O163="",Taux_Compta,$O163))-0.005,Pas_Arrondi))</f>
        <v>0</v>
      </c>
      <c r="Q163" s="22" t="n">
        <f aca="false">IF(OR($A163="",N(L163)=0),0,CEILING(L163*(1+IF($O163="",Taux_Paye,$O163))-0.005,Pas_Arrondi))</f>
        <v>0</v>
      </c>
      <c r="R163" s="22" t="n">
        <f aca="false">IF(OR($A163="",N(M163)=0),0,CEILING(M163*(1+IF($O163="",Taux_Jur,$O163))-0.005,Pas_Arrondi))</f>
        <v>0</v>
      </c>
      <c r="S163" s="22" t="n">
        <f aca="false">IF(OR($A163="",N(N163)=0),0,CEILING(N163*(1+IF($O163="",Taux_PA,$O163))-0.005,Pas_Arrondi))</f>
        <v>0</v>
      </c>
      <c r="T163" s="22" t="str">
        <f aca="false">IF($A163="","",SUM(K163:N163))</f>
        <v/>
      </c>
      <c r="U163" s="22" t="str">
        <f aca="false">IF($A163="","",SUM(P163:S163))</f>
        <v/>
      </c>
      <c r="V163" s="22" t="str">
        <f aca="false">IF($A163="","",U163-T163)</f>
        <v/>
      </c>
      <c r="W163" s="23" t="str">
        <f aca="false">IF(OR($A163="",N(T163)=0),"",V163/T163)</f>
        <v/>
      </c>
      <c r="X163" s="18"/>
      <c r="Y163" s="18"/>
    </row>
    <row r="164" customFormat="false" ht="15" hidden="false" customHeight="false" outlineLevel="0" collapsed="false">
      <c r="A164" s="18"/>
      <c r="B164" s="18"/>
      <c r="C164" s="18"/>
      <c r="D164" s="18"/>
      <c r="E164" s="18"/>
      <c r="F164" s="18"/>
      <c r="G164" s="18"/>
      <c r="H164" s="19"/>
      <c r="I164" s="18"/>
      <c r="J164" s="18"/>
      <c r="K164" s="20"/>
      <c r="L164" s="20"/>
      <c r="M164" s="20"/>
      <c r="N164" s="20"/>
      <c r="O164" s="21"/>
      <c r="P164" s="22" t="n">
        <f aca="false">IF(OR($A164="",N(K164)=0),0,CEILING(K164*(1+IF($O164="",Taux_Compta,$O164))-0.005,Pas_Arrondi))</f>
        <v>0</v>
      </c>
      <c r="Q164" s="22" t="n">
        <f aca="false">IF(OR($A164="",N(L164)=0),0,CEILING(L164*(1+IF($O164="",Taux_Paye,$O164))-0.005,Pas_Arrondi))</f>
        <v>0</v>
      </c>
      <c r="R164" s="22" t="n">
        <f aca="false">IF(OR($A164="",N(M164)=0),0,CEILING(M164*(1+IF($O164="",Taux_Jur,$O164))-0.005,Pas_Arrondi))</f>
        <v>0</v>
      </c>
      <c r="S164" s="22" t="n">
        <f aca="false">IF(OR($A164="",N(N164)=0),0,CEILING(N164*(1+IF($O164="",Taux_PA,$O164))-0.005,Pas_Arrondi))</f>
        <v>0</v>
      </c>
      <c r="T164" s="22" t="str">
        <f aca="false">IF($A164="","",SUM(K164:N164))</f>
        <v/>
      </c>
      <c r="U164" s="22" t="str">
        <f aca="false">IF($A164="","",SUM(P164:S164))</f>
        <v/>
      </c>
      <c r="V164" s="22" t="str">
        <f aca="false">IF($A164="","",U164-T164)</f>
        <v/>
      </c>
      <c r="W164" s="23" t="str">
        <f aca="false">IF(OR($A164="",N(T164)=0),"",V164/T164)</f>
        <v/>
      </c>
      <c r="X164" s="18"/>
      <c r="Y164" s="18"/>
    </row>
    <row r="165" customFormat="false" ht="15" hidden="false" customHeight="false" outlineLevel="0" collapsed="false">
      <c r="A165" s="18"/>
      <c r="B165" s="18"/>
      <c r="C165" s="18"/>
      <c r="D165" s="18"/>
      <c r="E165" s="18"/>
      <c r="F165" s="18"/>
      <c r="G165" s="18"/>
      <c r="H165" s="19"/>
      <c r="I165" s="18"/>
      <c r="J165" s="18"/>
      <c r="K165" s="20"/>
      <c r="L165" s="20"/>
      <c r="M165" s="20"/>
      <c r="N165" s="20"/>
      <c r="O165" s="21"/>
      <c r="P165" s="22" t="n">
        <f aca="false">IF(OR($A165="",N(K165)=0),0,CEILING(K165*(1+IF($O165="",Taux_Compta,$O165))-0.005,Pas_Arrondi))</f>
        <v>0</v>
      </c>
      <c r="Q165" s="22" t="n">
        <f aca="false">IF(OR($A165="",N(L165)=0),0,CEILING(L165*(1+IF($O165="",Taux_Paye,$O165))-0.005,Pas_Arrondi))</f>
        <v>0</v>
      </c>
      <c r="R165" s="22" t="n">
        <f aca="false">IF(OR($A165="",N(M165)=0),0,CEILING(M165*(1+IF($O165="",Taux_Jur,$O165))-0.005,Pas_Arrondi))</f>
        <v>0</v>
      </c>
      <c r="S165" s="22" t="n">
        <f aca="false">IF(OR($A165="",N(N165)=0),0,CEILING(N165*(1+IF($O165="",Taux_PA,$O165))-0.005,Pas_Arrondi))</f>
        <v>0</v>
      </c>
      <c r="T165" s="22" t="str">
        <f aca="false">IF($A165="","",SUM(K165:N165))</f>
        <v/>
      </c>
      <c r="U165" s="22" t="str">
        <f aca="false">IF($A165="","",SUM(P165:S165))</f>
        <v/>
      </c>
      <c r="V165" s="22" t="str">
        <f aca="false">IF($A165="","",U165-T165)</f>
        <v/>
      </c>
      <c r="W165" s="23" t="str">
        <f aca="false">IF(OR($A165="",N(T165)=0),"",V165/T165)</f>
        <v/>
      </c>
      <c r="X165" s="18"/>
      <c r="Y165" s="18"/>
    </row>
    <row r="166" customFormat="false" ht="15" hidden="false" customHeight="false" outlineLevel="0" collapsed="false">
      <c r="A166" s="18"/>
      <c r="B166" s="18"/>
      <c r="C166" s="18"/>
      <c r="D166" s="18"/>
      <c r="E166" s="18"/>
      <c r="F166" s="18"/>
      <c r="G166" s="18"/>
      <c r="H166" s="19"/>
      <c r="I166" s="18"/>
      <c r="J166" s="18"/>
      <c r="K166" s="20"/>
      <c r="L166" s="20"/>
      <c r="M166" s="20"/>
      <c r="N166" s="20"/>
      <c r="O166" s="21"/>
      <c r="P166" s="22" t="n">
        <f aca="false">IF(OR($A166="",N(K166)=0),0,CEILING(K166*(1+IF($O166="",Taux_Compta,$O166))-0.005,Pas_Arrondi))</f>
        <v>0</v>
      </c>
      <c r="Q166" s="22" t="n">
        <f aca="false">IF(OR($A166="",N(L166)=0),0,CEILING(L166*(1+IF($O166="",Taux_Paye,$O166))-0.005,Pas_Arrondi))</f>
        <v>0</v>
      </c>
      <c r="R166" s="22" t="n">
        <f aca="false">IF(OR($A166="",N(M166)=0),0,CEILING(M166*(1+IF($O166="",Taux_Jur,$O166))-0.005,Pas_Arrondi))</f>
        <v>0</v>
      </c>
      <c r="S166" s="22" t="n">
        <f aca="false">IF(OR($A166="",N(N166)=0),0,CEILING(N166*(1+IF($O166="",Taux_PA,$O166))-0.005,Pas_Arrondi))</f>
        <v>0</v>
      </c>
      <c r="T166" s="22" t="str">
        <f aca="false">IF($A166="","",SUM(K166:N166))</f>
        <v/>
      </c>
      <c r="U166" s="22" t="str">
        <f aca="false">IF($A166="","",SUM(P166:S166))</f>
        <v/>
      </c>
      <c r="V166" s="22" t="str">
        <f aca="false">IF($A166="","",U166-T166)</f>
        <v/>
      </c>
      <c r="W166" s="23" t="str">
        <f aca="false">IF(OR($A166="",N(T166)=0),"",V166/T166)</f>
        <v/>
      </c>
      <c r="X166" s="18"/>
      <c r="Y166" s="18"/>
    </row>
    <row r="167" customFormat="false" ht="15" hidden="false" customHeight="false" outlineLevel="0" collapsed="false">
      <c r="A167" s="18"/>
      <c r="B167" s="18"/>
      <c r="C167" s="18"/>
      <c r="D167" s="18"/>
      <c r="E167" s="18"/>
      <c r="F167" s="18"/>
      <c r="G167" s="18"/>
      <c r="H167" s="19"/>
      <c r="I167" s="18"/>
      <c r="J167" s="18"/>
      <c r="K167" s="20"/>
      <c r="L167" s="20"/>
      <c r="M167" s="20"/>
      <c r="N167" s="20"/>
      <c r="O167" s="21"/>
      <c r="P167" s="22" t="n">
        <f aca="false">IF(OR($A167="",N(K167)=0),0,CEILING(K167*(1+IF($O167="",Taux_Compta,$O167))-0.005,Pas_Arrondi))</f>
        <v>0</v>
      </c>
      <c r="Q167" s="22" t="n">
        <f aca="false">IF(OR($A167="",N(L167)=0),0,CEILING(L167*(1+IF($O167="",Taux_Paye,$O167))-0.005,Pas_Arrondi))</f>
        <v>0</v>
      </c>
      <c r="R167" s="22" t="n">
        <f aca="false">IF(OR($A167="",N(M167)=0),0,CEILING(M167*(1+IF($O167="",Taux_Jur,$O167))-0.005,Pas_Arrondi))</f>
        <v>0</v>
      </c>
      <c r="S167" s="22" t="n">
        <f aca="false">IF(OR($A167="",N(N167)=0),0,CEILING(N167*(1+IF($O167="",Taux_PA,$O167))-0.005,Pas_Arrondi))</f>
        <v>0</v>
      </c>
      <c r="T167" s="22" t="str">
        <f aca="false">IF($A167="","",SUM(K167:N167))</f>
        <v/>
      </c>
      <c r="U167" s="22" t="str">
        <f aca="false">IF($A167="","",SUM(P167:S167))</f>
        <v/>
      </c>
      <c r="V167" s="22" t="str">
        <f aca="false">IF($A167="","",U167-T167)</f>
        <v/>
      </c>
      <c r="W167" s="23" t="str">
        <f aca="false">IF(OR($A167="",N(T167)=0),"",V167/T167)</f>
        <v/>
      </c>
      <c r="X167" s="18"/>
      <c r="Y167" s="18"/>
    </row>
    <row r="168" customFormat="false" ht="15" hidden="false" customHeight="false" outlineLevel="0" collapsed="false">
      <c r="A168" s="18"/>
      <c r="B168" s="18"/>
      <c r="C168" s="18"/>
      <c r="D168" s="18"/>
      <c r="E168" s="18"/>
      <c r="F168" s="18"/>
      <c r="G168" s="18"/>
      <c r="H168" s="19"/>
      <c r="I168" s="18"/>
      <c r="J168" s="18"/>
      <c r="K168" s="20"/>
      <c r="L168" s="20"/>
      <c r="M168" s="20"/>
      <c r="N168" s="20"/>
      <c r="O168" s="21"/>
      <c r="P168" s="22" t="n">
        <f aca="false">IF(OR($A168="",N(K168)=0),0,CEILING(K168*(1+IF($O168="",Taux_Compta,$O168))-0.005,Pas_Arrondi))</f>
        <v>0</v>
      </c>
      <c r="Q168" s="22" t="n">
        <f aca="false">IF(OR($A168="",N(L168)=0),0,CEILING(L168*(1+IF($O168="",Taux_Paye,$O168))-0.005,Pas_Arrondi))</f>
        <v>0</v>
      </c>
      <c r="R168" s="22" t="n">
        <f aca="false">IF(OR($A168="",N(M168)=0),0,CEILING(M168*(1+IF($O168="",Taux_Jur,$O168))-0.005,Pas_Arrondi))</f>
        <v>0</v>
      </c>
      <c r="S168" s="22" t="n">
        <f aca="false">IF(OR($A168="",N(N168)=0),0,CEILING(N168*(1+IF($O168="",Taux_PA,$O168))-0.005,Pas_Arrondi))</f>
        <v>0</v>
      </c>
      <c r="T168" s="22" t="str">
        <f aca="false">IF($A168="","",SUM(K168:N168))</f>
        <v/>
      </c>
      <c r="U168" s="22" t="str">
        <f aca="false">IF($A168="","",SUM(P168:S168))</f>
        <v/>
      </c>
      <c r="V168" s="22" t="str">
        <f aca="false">IF($A168="","",U168-T168)</f>
        <v/>
      </c>
      <c r="W168" s="23" t="str">
        <f aca="false">IF(OR($A168="",N(T168)=0),"",V168/T168)</f>
        <v/>
      </c>
      <c r="X168" s="18"/>
      <c r="Y168" s="18"/>
    </row>
    <row r="169" customFormat="false" ht="15" hidden="false" customHeight="false" outlineLevel="0" collapsed="false">
      <c r="A169" s="18"/>
      <c r="B169" s="18"/>
      <c r="C169" s="18"/>
      <c r="D169" s="18"/>
      <c r="E169" s="18"/>
      <c r="F169" s="18"/>
      <c r="G169" s="18"/>
      <c r="H169" s="19"/>
      <c r="I169" s="18"/>
      <c r="J169" s="18"/>
      <c r="K169" s="20"/>
      <c r="L169" s="20"/>
      <c r="M169" s="20"/>
      <c r="N169" s="20"/>
      <c r="O169" s="21"/>
      <c r="P169" s="22" t="n">
        <f aca="false">IF(OR($A169="",N(K169)=0),0,CEILING(K169*(1+IF($O169="",Taux_Compta,$O169))-0.005,Pas_Arrondi))</f>
        <v>0</v>
      </c>
      <c r="Q169" s="22" t="n">
        <f aca="false">IF(OR($A169="",N(L169)=0),0,CEILING(L169*(1+IF($O169="",Taux_Paye,$O169))-0.005,Pas_Arrondi))</f>
        <v>0</v>
      </c>
      <c r="R169" s="22" t="n">
        <f aca="false">IF(OR($A169="",N(M169)=0),0,CEILING(M169*(1+IF($O169="",Taux_Jur,$O169))-0.005,Pas_Arrondi))</f>
        <v>0</v>
      </c>
      <c r="S169" s="22" t="n">
        <f aca="false">IF(OR($A169="",N(N169)=0),0,CEILING(N169*(1+IF($O169="",Taux_PA,$O169))-0.005,Pas_Arrondi))</f>
        <v>0</v>
      </c>
      <c r="T169" s="22" t="str">
        <f aca="false">IF($A169="","",SUM(K169:N169))</f>
        <v/>
      </c>
      <c r="U169" s="22" t="str">
        <f aca="false">IF($A169="","",SUM(P169:S169))</f>
        <v/>
      </c>
      <c r="V169" s="22" t="str">
        <f aca="false">IF($A169="","",U169-T169)</f>
        <v/>
      </c>
      <c r="W169" s="23" t="str">
        <f aca="false">IF(OR($A169="",N(T169)=0),"",V169/T169)</f>
        <v/>
      </c>
      <c r="X169" s="18"/>
      <c r="Y169" s="18"/>
    </row>
    <row r="170" customFormat="false" ht="15" hidden="false" customHeight="false" outlineLevel="0" collapsed="false">
      <c r="A170" s="18"/>
      <c r="B170" s="18"/>
      <c r="C170" s="18"/>
      <c r="D170" s="18"/>
      <c r="E170" s="18"/>
      <c r="F170" s="18"/>
      <c r="G170" s="18"/>
      <c r="H170" s="19"/>
      <c r="I170" s="18"/>
      <c r="J170" s="18"/>
      <c r="K170" s="20"/>
      <c r="L170" s="20"/>
      <c r="M170" s="20"/>
      <c r="N170" s="20"/>
      <c r="O170" s="21"/>
      <c r="P170" s="22" t="n">
        <f aca="false">IF(OR($A170="",N(K170)=0),0,CEILING(K170*(1+IF($O170="",Taux_Compta,$O170))-0.005,Pas_Arrondi))</f>
        <v>0</v>
      </c>
      <c r="Q170" s="22" t="n">
        <f aca="false">IF(OR($A170="",N(L170)=0),0,CEILING(L170*(1+IF($O170="",Taux_Paye,$O170))-0.005,Pas_Arrondi))</f>
        <v>0</v>
      </c>
      <c r="R170" s="22" t="n">
        <f aca="false">IF(OR($A170="",N(M170)=0),0,CEILING(M170*(1+IF($O170="",Taux_Jur,$O170))-0.005,Pas_Arrondi))</f>
        <v>0</v>
      </c>
      <c r="S170" s="22" t="n">
        <f aca="false">IF(OR($A170="",N(N170)=0),0,CEILING(N170*(1+IF($O170="",Taux_PA,$O170))-0.005,Pas_Arrondi))</f>
        <v>0</v>
      </c>
      <c r="T170" s="22" t="str">
        <f aca="false">IF($A170="","",SUM(K170:N170))</f>
        <v/>
      </c>
      <c r="U170" s="22" t="str">
        <f aca="false">IF($A170="","",SUM(P170:S170))</f>
        <v/>
      </c>
      <c r="V170" s="22" t="str">
        <f aca="false">IF($A170="","",U170-T170)</f>
        <v/>
      </c>
      <c r="W170" s="23" t="str">
        <f aca="false">IF(OR($A170="",N(T170)=0),"",V170/T170)</f>
        <v/>
      </c>
      <c r="X170" s="18"/>
      <c r="Y170" s="18"/>
    </row>
    <row r="171" customFormat="false" ht="15" hidden="false" customHeight="false" outlineLevel="0" collapsed="false">
      <c r="A171" s="18"/>
      <c r="B171" s="18"/>
      <c r="C171" s="18"/>
      <c r="D171" s="18"/>
      <c r="E171" s="18"/>
      <c r="F171" s="18"/>
      <c r="G171" s="18"/>
      <c r="H171" s="19"/>
      <c r="I171" s="18"/>
      <c r="J171" s="18"/>
      <c r="K171" s="20"/>
      <c r="L171" s="20"/>
      <c r="M171" s="20"/>
      <c r="N171" s="20"/>
      <c r="O171" s="21"/>
      <c r="P171" s="22" t="n">
        <f aca="false">IF(OR($A171="",N(K171)=0),0,CEILING(K171*(1+IF($O171="",Taux_Compta,$O171))-0.005,Pas_Arrondi))</f>
        <v>0</v>
      </c>
      <c r="Q171" s="22" t="n">
        <f aca="false">IF(OR($A171="",N(L171)=0),0,CEILING(L171*(1+IF($O171="",Taux_Paye,$O171))-0.005,Pas_Arrondi))</f>
        <v>0</v>
      </c>
      <c r="R171" s="22" t="n">
        <f aca="false">IF(OR($A171="",N(M171)=0),0,CEILING(M171*(1+IF($O171="",Taux_Jur,$O171))-0.005,Pas_Arrondi))</f>
        <v>0</v>
      </c>
      <c r="S171" s="22" t="n">
        <f aca="false">IF(OR($A171="",N(N171)=0),0,CEILING(N171*(1+IF($O171="",Taux_PA,$O171))-0.005,Pas_Arrondi))</f>
        <v>0</v>
      </c>
      <c r="T171" s="22" t="str">
        <f aca="false">IF($A171="","",SUM(K171:N171))</f>
        <v/>
      </c>
      <c r="U171" s="22" t="str">
        <f aca="false">IF($A171="","",SUM(P171:S171))</f>
        <v/>
      </c>
      <c r="V171" s="22" t="str">
        <f aca="false">IF($A171="","",U171-T171)</f>
        <v/>
      </c>
      <c r="W171" s="23" t="str">
        <f aca="false">IF(OR($A171="",N(T171)=0),"",V171/T171)</f>
        <v/>
      </c>
      <c r="X171" s="18"/>
      <c r="Y171" s="18"/>
    </row>
    <row r="172" customFormat="false" ht="15" hidden="false" customHeight="false" outlineLevel="0" collapsed="false">
      <c r="A172" s="18"/>
      <c r="B172" s="18"/>
      <c r="C172" s="18"/>
      <c r="D172" s="18"/>
      <c r="E172" s="18"/>
      <c r="F172" s="18"/>
      <c r="G172" s="18"/>
      <c r="H172" s="19"/>
      <c r="I172" s="18"/>
      <c r="J172" s="18"/>
      <c r="K172" s="20"/>
      <c r="L172" s="20"/>
      <c r="M172" s="20"/>
      <c r="N172" s="20"/>
      <c r="O172" s="21"/>
      <c r="P172" s="22" t="n">
        <f aca="false">IF(OR($A172="",N(K172)=0),0,CEILING(K172*(1+IF($O172="",Taux_Compta,$O172))-0.005,Pas_Arrondi))</f>
        <v>0</v>
      </c>
      <c r="Q172" s="22" t="n">
        <f aca="false">IF(OR($A172="",N(L172)=0),0,CEILING(L172*(1+IF($O172="",Taux_Paye,$O172))-0.005,Pas_Arrondi))</f>
        <v>0</v>
      </c>
      <c r="R172" s="22" t="n">
        <f aca="false">IF(OR($A172="",N(M172)=0),0,CEILING(M172*(1+IF($O172="",Taux_Jur,$O172))-0.005,Pas_Arrondi))</f>
        <v>0</v>
      </c>
      <c r="S172" s="22" t="n">
        <f aca="false">IF(OR($A172="",N(N172)=0),0,CEILING(N172*(1+IF($O172="",Taux_PA,$O172))-0.005,Pas_Arrondi))</f>
        <v>0</v>
      </c>
      <c r="T172" s="22" t="str">
        <f aca="false">IF($A172="","",SUM(K172:N172))</f>
        <v/>
      </c>
      <c r="U172" s="22" t="str">
        <f aca="false">IF($A172="","",SUM(P172:S172))</f>
        <v/>
      </c>
      <c r="V172" s="22" t="str">
        <f aca="false">IF($A172="","",U172-T172)</f>
        <v/>
      </c>
      <c r="W172" s="23" t="str">
        <f aca="false">IF(OR($A172="",N(T172)=0),"",V172/T172)</f>
        <v/>
      </c>
      <c r="X172" s="18"/>
      <c r="Y172" s="18"/>
    </row>
    <row r="173" customFormat="false" ht="15" hidden="false" customHeight="false" outlineLevel="0" collapsed="false">
      <c r="A173" s="18"/>
      <c r="B173" s="18"/>
      <c r="C173" s="18"/>
      <c r="D173" s="18"/>
      <c r="E173" s="18"/>
      <c r="F173" s="18"/>
      <c r="G173" s="18"/>
      <c r="H173" s="19"/>
      <c r="I173" s="18"/>
      <c r="J173" s="18"/>
      <c r="K173" s="20"/>
      <c r="L173" s="20"/>
      <c r="M173" s="20"/>
      <c r="N173" s="20"/>
      <c r="O173" s="21"/>
      <c r="P173" s="22" t="n">
        <f aca="false">IF(OR($A173="",N(K173)=0),0,CEILING(K173*(1+IF($O173="",Taux_Compta,$O173))-0.005,Pas_Arrondi))</f>
        <v>0</v>
      </c>
      <c r="Q173" s="22" t="n">
        <f aca="false">IF(OR($A173="",N(L173)=0),0,CEILING(L173*(1+IF($O173="",Taux_Paye,$O173))-0.005,Pas_Arrondi))</f>
        <v>0</v>
      </c>
      <c r="R173" s="22" t="n">
        <f aca="false">IF(OR($A173="",N(M173)=0),0,CEILING(M173*(1+IF($O173="",Taux_Jur,$O173))-0.005,Pas_Arrondi))</f>
        <v>0</v>
      </c>
      <c r="S173" s="22" t="n">
        <f aca="false">IF(OR($A173="",N(N173)=0),0,CEILING(N173*(1+IF($O173="",Taux_PA,$O173))-0.005,Pas_Arrondi))</f>
        <v>0</v>
      </c>
      <c r="T173" s="22" t="str">
        <f aca="false">IF($A173="","",SUM(K173:N173))</f>
        <v/>
      </c>
      <c r="U173" s="22" t="str">
        <f aca="false">IF($A173="","",SUM(P173:S173))</f>
        <v/>
      </c>
      <c r="V173" s="22" t="str">
        <f aca="false">IF($A173="","",U173-T173)</f>
        <v/>
      </c>
      <c r="W173" s="23" t="str">
        <f aca="false">IF(OR($A173="",N(T173)=0),"",V173/T173)</f>
        <v/>
      </c>
      <c r="X173" s="18"/>
      <c r="Y173" s="18"/>
    </row>
    <row r="174" customFormat="false" ht="15" hidden="false" customHeight="false" outlineLevel="0" collapsed="false">
      <c r="A174" s="18"/>
      <c r="B174" s="18"/>
      <c r="C174" s="18"/>
      <c r="D174" s="18"/>
      <c r="E174" s="18"/>
      <c r="F174" s="18"/>
      <c r="G174" s="18"/>
      <c r="H174" s="19"/>
      <c r="I174" s="18"/>
      <c r="J174" s="18"/>
      <c r="K174" s="20"/>
      <c r="L174" s="20"/>
      <c r="M174" s="20"/>
      <c r="N174" s="20"/>
      <c r="O174" s="21"/>
      <c r="P174" s="22" t="n">
        <f aca="false">IF(OR($A174="",N(K174)=0),0,CEILING(K174*(1+IF($O174="",Taux_Compta,$O174))-0.005,Pas_Arrondi))</f>
        <v>0</v>
      </c>
      <c r="Q174" s="22" t="n">
        <f aca="false">IF(OR($A174="",N(L174)=0),0,CEILING(L174*(1+IF($O174="",Taux_Paye,$O174))-0.005,Pas_Arrondi))</f>
        <v>0</v>
      </c>
      <c r="R174" s="22" t="n">
        <f aca="false">IF(OR($A174="",N(M174)=0),0,CEILING(M174*(1+IF($O174="",Taux_Jur,$O174))-0.005,Pas_Arrondi))</f>
        <v>0</v>
      </c>
      <c r="S174" s="22" t="n">
        <f aca="false">IF(OR($A174="",N(N174)=0),0,CEILING(N174*(1+IF($O174="",Taux_PA,$O174))-0.005,Pas_Arrondi))</f>
        <v>0</v>
      </c>
      <c r="T174" s="22" t="str">
        <f aca="false">IF($A174="","",SUM(K174:N174))</f>
        <v/>
      </c>
      <c r="U174" s="22" t="str">
        <f aca="false">IF($A174="","",SUM(P174:S174))</f>
        <v/>
      </c>
      <c r="V174" s="22" t="str">
        <f aca="false">IF($A174="","",U174-T174)</f>
        <v/>
      </c>
      <c r="W174" s="23" t="str">
        <f aca="false">IF(OR($A174="",N(T174)=0),"",V174/T174)</f>
        <v/>
      </c>
      <c r="X174" s="18"/>
      <c r="Y174" s="18"/>
    </row>
    <row r="175" customFormat="false" ht="15" hidden="false" customHeight="false" outlineLevel="0" collapsed="false">
      <c r="A175" s="18"/>
      <c r="B175" s="18"/>
      <c r="C175" s="18"/>
      <c r="D175" s="18"/>
      <c r="E175" s="18"/>
      <c r="F175" s="18"/>
      <c r="G175" s="18"/>
      <c r="H175" s="19"/>
      <c r="I175" s="18"/>
      <c r="J175" s="18"/>
      <c r="K175" s="20"/>
      <c r="L175" s="20"/>
      <c r="M175" s="20"/>
      <c r="N175" s="20"/>
      <c r="O175" s="21"/>
      <c r="P175" s="22" t="n">
        <f aca="false">IF(OR($A175="",N(K175)=0),0,CEILING(K175*(1+IF($O175="",Taux_Compta,$O175))-0.005,Pas_Arrondi))</f>
        <v>0</v>
      </c>
      <c r="Q175" s="22" t="n">
        <f aca="false">IF(OR($A175="",N(L175)=0),0,CEILING(L175*(1+IF($O175="",Taux_Paye,$O175))-0.005,Pas_Arrondi))</f>
        <v>0</v>
      </c>
      <c r="R175" s="22" t="n">
        <f aca="false">IF(OR($A175="",N(M175)=0),0,CEILING(M175*(1+IF($O175="",Taux_Jur,$O175))-0.005,Pas_Arrondi))</f>
        <v>0</v>
      </c>
      <c r="S175" s="22" t="n">
        <f aca="false">IF(OR($A175="",N(N175)=0),0,CEILING(N175*(1+IF($O175="",Taux_PA,$O175))-0.005,Pas_Arrondi))</f>
        <v>0</v>
      </c>
      <c r="T175" s="22" t="str">
        <f aca="false">IF($A175="","",SUM(K175:N175))</f>
        <v/>
      </c>
      <c r="U175" s="22" t="str">
        <f aca="false">IF($A175="","",SUM(P175:S175))</f>
        <v/>
      </c>
      <c r="V175" s="22" t="str">
        <f aca="false">IF($A175="","",U175-T175)</f>
        <v/>
      </c>
      <c r="W175" s="23" t="str">
        <f aca="false">IF(OR($A175="",N(T175)=0),"",V175/T175)</f>
        <v/>
      </c>
      <c r="X175" s="18"/>
      <c r="Y175" s="18"/>
    </row>
    <row r="176" customFormat="false" ht="15" hidden="false" customHeight="false" outlineLevel="0" collapsed="false">
      <c r="A176" s="18"/>
      <c r="B176" s="18"/>
      <c r="C176" s="18"/>
      <c r="D176" s="18"/>
      <c r="E176" s="18"/>
      <c r="F176" s="18"/>
      <c r="G176" s="18"/>
      <c r="H176" s="19"/>
      <c r="I176" s="18"/>
      <c r="J176" s="18"/>
      <c r="K176" s="20"/>
      <c r="L176" s="20"/>
      <c r="M176" s="20"/>
      <c r="N176" s="20"/>
      <c r="O176" s="21"/>
      <c r="P176" s="22" t="n">
        <f aca="false">IF(OR($A176="",N(K176)=0),0,CEILING(K176*(1+IF($O176="",Taux_Compta,$O176))-0.005,Pas_Arrondi))</f>
        <v>0</v>
      </c>
      <c r="Q176" s="22" t="n">
        <f aca="false">IF(OR($A176="",N(L176)=0),0,CEILING(L176*(1+IF($O176="",Taux_Paye,$O176))-0.005,Pas_Arrondi))</f>
        <v>0</v>
      </c>
      <c r="R176" s="22" t="n">
        <f aca="false">IF(OR($A176="",N(M176)=0),0,CEILING(M176*(1+IF($O176="",Taux_Jur,$O176))-0.005,Pas_Arrondi))</f>
        <v>0</v>
      </c>
      <c r="S176" s="22" t="n">
        <f aca="false">IF(OR($A176="",N(N176)=0),0,CEILING(N176*(1+IF($O176="",Taux_PA,$O176))-0.005,Pas_Arrondi))</f>
        <v>0</v>
      </c>
      <c r="T176" s="22" t="str">
        <f aca="false">IF($A176="","",SUM(K176:N176))</f>
        <v/>
      </c>
      <c r="U176" s="22" t="str">
        <f aca="false">IF($A176="","",SUM(P176:S176))</f>
        <v/>
      </c>
      <c r="V176" s="22" t="str">
        <f aca="false">IF($A176="","",U176-T176)</f>
        <v/>
      </c>
      <c r="W176" s="23" t="str">
        <f aca="false">IF(OR($A176="",N(T176)=0),"",V176/T176)</f>
        <v/>
      </c>
      <c r="X176" s="18"/>
      <c r="Y176" s="18"/>
    </row>
    <row r="177" customFormat="false" ht="15" hidden="false" customHeight="false" outlineLevel="0" collapsed="false">
      <c r="A177" s="18"/>
      <c r="B177" s="18"/>
      <c r="C177" s="18"/>
      <c r="D177" s="18"/>
      <c r="E177" s="18"/>
      <c r="F177" s="18"/>
      <c r="G177" s="18"/>
      <c r="H177" s="19"/>
      <c r="I177" s="18"/>
      <c r="J177" s="18"/>
      <c r="K177" s="20"/>
      <c r="L177" s="20"/>
      <c r="M177" s="20"/>
      <c r="N177" s="20"/>
      <c r="O177" s="21"/>
      <c r="P177" s="22" t="n">
        <f aca="false">IF(OR($A177="",N(K177)=0),0,CEILING(K177*(1+IF($O177="",Taux_Compta,$O177))-0.005,Pas_Arrondi))</f>
        <v>0</v>
      </c>
      <c r="Q177" s="22" t="n">
        <f aca="false">IF(OR($A177="",N(L177)=0),0,CEILING(L177*(1+IF($O177="",Taux_Paye,$O177))-0.005,Pas_Arrondi))</f>
        <v>0</v>
      </c>
      <c r="R177" s="22" t="n">
        <f aca="false">IF(OR($A177="",N(M177)=0),0,CEILING(M177*(1+IF($O177="",Taux_Jur,$O177))-0.005,Pas_Arrondi))</f>
        <v>0</v>
      </c>
      <c r="S177" s="22" t="n">
        <f aca="false">IF(OR($A177="",N(N177)=0),0,CEILING(N177*(1+IF($O177="",Taux_PA,$O177))-0.005,Pas_Arrondi))</f>
        <v>0</v>
      </c>
      <c r="T177" s="22" t="str">
        <f aca="false">IF($A177="","",SUM(K177:N177))</f>
        <v/>
      </c>
      <c r="U177" s="22" t="str">
        <f aca="false">IF($A177="","",SUM(P177:S177))</f>
        <v/>
      </c>
      <c r="V177" s="22" t="str">
        <f aca="false">IF($A177="","",U177-T177)</f>
        <v/>
      </c>
      <c r="W177" s="23" t="str">
        <f aca="false">IF(OR($A177="",N(T177)=0),"",V177/T177)</f>
        <v/>
      </c>
      <c r="X177" s="18"/>
      <c r="Y177" s="18"/>
    </row>
    <row r="178" customFormat="false" ht="15" hidden="false" customHeight="false" outlineLevel="0" collapsed="false">
      <c r="A178" s="18"/>
      <c r="B178" s="18"/>
      <c r="C178" s="18"/>
      <c r="D178" s="18"/>
      <c r="E178" s="18"/>
      <c r="F178" s="18"/>
      <c r="G178" s="18"/>
      <c r="H178" s="19"/>
      <c r="I178" s="18"/>
      <c r="J178" s="18"/>
      <c r="K178" s="20"/>
      <c r="L178" s="20"/>
      <c r="M178" s="20"/>
      <c r="N178" s="20"/>
      <c r="O178" s="21"/>
      <c r="P178" s="22" t="n">
        <f aca="false">IF(OR($A178="",N(K178)=0),0,CEILING(K178*(1+IF($O178="",Taux_Compta,$O178))-0.005,Pas_Arrondi))</f>
        <v>0</v>
      </c>
      <c r="Q178" s="22" t="n">
        <f aca="false">IF(OR($A178="",N(L178)=0),0,CEILING(L178*(1+IF($O178="",Taux_Paye,$O178))-0.005,Pas_Arrondi))</f>
        <v>0</v>
      </c>
      <c r="R178" s="22" t="n">
        <f aca="false">IF(OR($A178="",N(M178)=0),0,CEILING(M178*(1+IF($O178="",Taux_Jur,$O178))-0.005,Pas_Arrondi))</f>
        <v>0</v>
      </c>
      <c r="S178" s="22" t="n">
        <f aca="false">IF(OR($A178="",N(N178)=0),0,CEILING(N178*(1+IF($O178="",Taux_PA,$O178))-0.005,Pas_Arrondi))</f>
        <v>0</v>
      </c>
      <c r="T178" s="22" t="str">
        <f aca="false">IF($A178="","",SUM(K178:N178))</f>
        <v/>
      </c>
      <c r="U178" s="22" t="str">
        <f aca="false">IF($A178="","",SUM(P178:S178))</f>
        <v/>
      </c>
      <c r="V178" s="22" t="str">
        <f aca="false">IF($A178="","",U178-T178)</f>
        <v/>
      </c>
      <c r="W178" s="23" t="str">
        <f aca="false">IF(OR($A178="",N(T178)=0),"",V178/T178)</f>
        <v/>
      </c>
      <c r="X178" s="18"/>
      <c r="Y178" s="18"/>
    </row>
    <row r="179" customFormat="false" ht="15" hidden="false" customHeight="false" outlineLevel="0" collapsed="false">
      <c r="A179" s="18"/>
      <c r="B179" s="18"/>
      <c r="C179" s="18"/>
      <c r="D179" s="18"/>
      <c r="E179" s="18"/>
      <c r="F179" s="18"/>
      <c r="G179" s="18"/>
      <c r="H179" s="19"/>
      <c r="I179" s="18"/>
      <c r="J179" s="18"/>
      <c r="K179" s="20"/>
      <c r="L179" s="20"/>
      <c r="M179" s="20"/>
      <c r="N179" s="20"/>
      <c r="O179" s="21"/>
      <c r="P179" s="22" t="n">
        <f aca="false">IF(OR($A179="",N(K179)=0),0,CEILING(K179*(1+IF($O179="",Taux_Compta,$O179))-0.005,Pas_Arrondi))</f>
        <v>0</v>
      </c>
      <c r="Q179" s="22" t="n">
        <f aca="false">IF(OR($A179="",N(L179)=0),0,CEILING(L179*(1+IF($O179="",Taux_Paye,$O179))-0.005,Pas_Arrondi))</f>
        <v>0</v>
      </c>
      <c r="R179" s="22" t="n">
        <f aca="false">IF(OR($A179="",N(M179)=0),0,CEILING(M179*(1+IF($O179="",Taux_Jur,$O179))-0.005,Pas_Arrondi))</f>
        <v>0</v>
      </c>
      <c r="S179" s="22" t="n">
        <f aca="false">IF(OR($A179="",N(N179)=0),0,CEILING(N179*(1+IF($O179="",Taux_PA,$O179))-0.005,Pas_Arrondi))</f>
        <v>0</v>
      </c>
      <c r="T179" s="22" t="str">
        <f aca="false">IF($A179="","",SUM(K179:N179))</f>
        <v/>
      </c>
      <c r="U179" s="22" t="str">
        <f aca="false">IF($A179="","",SUM(P179:S179))</f>
        <v/>
      </c>
      <c r="V179" s="22" t="str">
        <f aca="false">IF($A179="","",U179-T179)</f>
        <v/>
      </c>
      <c r="W179" s="23" t="str">
        <f aca="false">IF(OR($A179="",N(T179)=0),"",V179/T179)</f>
        <v/>
      </c>
      <c r="X179" s="18"/>
      <c r="Y179" s="18"/>
    </row>
    <row r="180" customFormat="false" ht="15" hidden="false" customHeight="false" outlineLevel="0" collapsed="false">
      <c r="A180" s="18"/>
      <c r="B180" s="18"/>
      <c r="C180" s="18"/>
      <c r="D180" s="18"/>
      <c r="E180" s="18"/>
      <c r="F180" s="18"/>
      <c r="G180" s="18"/>
      <c r="H180" s="19"/>
      <c r="I180" s="18"/>
      <c r="J180" s="18"/>
      <c r="K180" s="20"/>
      <c r="L180" s="20"/>
      <c r="M180" s="20"/>
      <c r="N180" s="20"/>
      <c r="O180" s="21"/>
      <c r="P180" s="22" t="n">
        <f aca="false">IF(OR($A180="",N(K180)=0),0,CEILING(K180*(1+IF($O180="",Taux_Compta,$O180))-0.005,Pas_Arrondi))</f>
        <v>0</v>
      </c>
      <c r="Q180" s="22" t="n">
        <f aca="false">IF(OR($A180="",N(L180)=0),0,CEILING(L180*(1+IF($O180="",Taux_Paye,$O180))-0.005,Pas_Arrondi))</f>
        <v>0</v>
      </c>
      <c r="R180" s="22" t="n">
        <f aca="false">IF(OR($A180="",N(M180)=0),0,CEILING(M180*(1+IF($O180="",Taux_Jur,$O180))-0.005,Pas_Arrondi))</f>
        <v>0</v>
      </c>
      <c r="S180" s="22" t="n">
        <f aca="false">IF(OR($A180="",N(N180)=0),0,CEILING(N180*(1+IF($O180="",Taux_PA,$O180))-0.005,Pas_Arrondi))</f>
        <v>0</v>
      </c>
      <c r="T180" s="22" t="str">
        <f aca="false">IF($A180="","",SUM(K180:N180))</f>
        <v/>
      </c>
      <c r="U180" s="22" t="str">
        <f aca="false">IF($A180="","",SUM(P180:S180))</f>
        <v/>
      </c>
      <c r="V180" s="22" t="str">
        <f aca="false">IF($A180="","",U180-T180)</f>
        <v/>
      </c>
      <c r="W180" s="23" t="str">
        <f aca="false">IF(OR($A180="",N(T180)=0),"",V180/T180)</f>
        <v/>
      </c>
      <c r="X180" s="18"/>
      <c r="Y180" s="18"/>
    </row>
    <row r="181" customFormat="false" ht="15" hidden="false" customHeight="false" outlineLevel="0" collapsed="false">
      <c r="A181" s="18"/>
      <c r="B181" s="18"/>
      <c r="C181" s="18"/>
      <c r="D181" s="18"/>
      <c r="E181" s="18"/>
      <c r="F181" s="18"/>
      <c r="G181" s="18"/>
      <c r="H181" s="19"/>
      <c r="I181" s="18"/>
      <c r="J181" s="18"/>
      <c r="K181" s="20"/>
      <c r="L181" s="20"/>
      <c r="M181" s="20"/>
      <c r="N181" s="20"/>
      <c r="O181" s="21"/>
      <c r="P181" s="22" t="n">
        <f aca="false">IF(OR($A181="",N(K181)=0),0,CEILING(K181*(1+IF($O181="",Taux_Compta,$O181))-0.005,Pas_Arrondi))</f>
        <v>0</v>
      </c>
      <c r="Q181" s="22" t="n">
        <f aca="false">IF(OR($A181="",N(L181)=0),0,CEILING(L181*(1+IF($O181="",Taux_Paye,$O181))-0.005,Pas_Arrondi))</f>
        <v>0</v>
      </c>
      <c r="R181" s="22" t="n">
        <f aca="false">IF(OR($A181="",N(M181)=0),0,CEILING(M181*(1+IF($O181="",Taux_Jur,$O181))-0.005,Pas_Arrondi))</f>
        <v>0</v>
      </c>
      <c r="S181" s="22" t="n">
        <f aca="false">IF(OR($A181="",N(N181)=0),0,CEILING(N181*(1+IF($O181="",Taux_PA,$O181))-0.005,Pas_Arrondi))</f>
        <v>0</v>
      </c>
      <c r="T181" s="22" t="str">
        <f aca="false">IF($A181="","",SUM(K181:N181))</f>
        <v/>
      </c>
      <c r="U181" s="22" t="str">
        <f aca="false">IF($A181="","",SUM(P181:S181))</f>
        <v/>
      </c>
      <c r="V181" s="22" t="str">
        <f aca="false">IF($A181="","",U181-T181)</f>
        <v/>
      </c>
      <c r="W181" s="23" t="str">
        <f aca="false">IF(OR($A181="",N(T181)=0),"",V181/T181)</f>
        <v/>
      </c>
      <c r="X181" s="18"/>
      <c r="Y181" s="18"/>
    </row>
    <row r="182" customFormat="false" ht="15" hidden="false" customHeight="false" outlineLevel="0" collapsed="false">
      <c r="A182" s="18"/>
      <c r="B182" s="18"/>
      <c r="C182" s="18"/>
      <c r="D182" s="18"/>
      <c r="E182" s="18"/>
      <c r="F182" s="18"/>
      <c r="G182" s="18"/>
      <c r="H182" s="19"/>
      <c r="I182" s="18"/>
      <c r="J182" s="18"/>
      <c r="K182" s="20"/>
      <c r="L182" s="20"/>
      <c r="M182" s="20"/>
      <c r="N182" s="20"/>
      <c r="O182" s="21"/>
      <c r="P182" s="22" t="n">
        <f aca="false">IF(OR($A182="",N(K182)=0),0,CEILING(K182*(1+IF($O182="",Taux_Compta,$O182))-0.005,Pas_Arrondi))</f>
        <v>0</v>
      </c>
      <c r="Q182" s="22" t="n">
        <f aca="false">IF(OR($A182="",N(L182)=0),0,CEILING(L182*(1+IF($O182="",Taux_Paye,$O182))-0.005,Pas_Arrondi))</f>
        <v>0</v>
      </c>
      <c r="R182" s="22" t="n">
        <f aca="false">IF(OR($A182="",N(M182)=0),0,CEILING(M182*(1+IF($O182="",Taux_Jur,$O182))-0.005,Pas_Arrondi))</f>
        <v>0</v>
      </c>
      <c r="S182" s="22" t="n">
        <f aca="false">IF(OR($A182="",N(N182)=0),0,CEILING(N182*(1+IF($O182="",Taux_PA,$O182))-0.005,Pas_Arrondi))</f>
        <v>0</v>
      </c>
      <c r="T182" s="22" t="str">
        <f aca="false">IF($A182="","",SUM(K182:N182))</f>
        <v/>
      </c>
      <c r="U182" s="22" t="str">
        <f aca="false">IF($A182="","",SUM(P182:S182))</f>
        <v/>
      </c>
      <c r="V182" s="22" t="str">
        <f aca="false">IF($A182="","",U182-T182)</f>
        <v/>
      </c>
      <c r="W182" s="23" t="str">
        <f aca="false">IF(OR($A182="",N(T182)=0),"",V182/T182)</f>
        <v/>
      </c>
      <c r="X182" s="18"/>
      <c r="Y182" s="18"/>
    </row>
    <row r="183" customFormat="false" ht="15" hidden="false" customHeight="false" outlineLevel="0" collapsed="false">
      <c r="A183" s="18"/>
      <c r="B183" s="18"/>
      <c r="C183" s="18"/>
      <c r="D183" s="18"/>
      <c r="E183" s="18"/>
      <c r="F183" s="18"/>
      <c r="G183" s="18"/>
      <c r="H183" s="19"/>
      <c r="I183" s="18"/>
      <c r="J183" s="18"/>
      <c r="K183" s="20"/>
      <c r="L183" s="20"/>
      <c r="M183" s="20"/>
      <c r="N183" s="20"/>
      <c r="O183" s="21"/>
      <c r="P183" s="22" t="n">
        <f aca="false">IF(OR($A183="",N(K183)=0),0,CEILING(K183*(1+IF($O183="",Taux_Compta,$O183))-0.005,Pas_Arrondi))</f>
        <v>0</v>
      </c>
      <c r="Q183" s="22" t="n">
        <f aca="false">IF(OR($A183="",N(L183)=0),0,CEILING(L183*(1+IF($O183="",Taux_Paye,$O183))-0.005,Pas_Arrondi))</f>
        <v>0</v>
      </c>
      <c r="R183" s="22" t="n">
        <f aca="false">IF(OR($A183="",N(M183)=0),0,CEILING(M183*(1+IF($O183="",Taux_Jur,$O183))-0.005,Pas_Arrondi))</f>
        <v>0</v>
      </c>
      <c r="S183" s="22" t="n">
        <f aca="false">IF(OR($A183="",N(N183)=0),0,CEILING(N183*(1+IF($O183="",Taux_PA,$O183))-0.005,Pas_Arrondi))</f>
        <v>0</v>
      </c>
      <c r="T183" s="22" t="str">
        <f aca="false">IF($A183="","",SUM(K183:N183))</f>
        <v/>
      </c>
      <c r="U183" s="22" t="str">
        <f aca="false">IF($A183="","",SUM(P183:S183))</f>
        <v/>
      </c>
      <c r="V183" s="22" t="str">
        <f aca="false">IF($A183="","",U183-T183)</f>
        <v/>
      </c>
      <c r="W183" s="23" t="str">
        <f aca="false">IF(OR($A183="",N(T183)=0),"",V183/T183)</f>
        <v/>
      </c>
      <c r="X183" s="18"/>
      <c r="Y183" s="18"/>
    </row>
    <row r="184" customFormat="false" ht="15" hidden="false" customHeight="false" outlineLevel="0" collapsed="false">
      <c r="A184" s="18"/>
      <c r="B184" s="18"/>
      <c r="C184" s="18"/>
      <c r="D184" s="18"/>
      <c r="E184" s="18"/>
      <c r="F184" s="18"/>
      <c r="G184" s="18"/>
      <c r="H184" s="19"/>
      <c r="I184" s="18"/>
      <c r="J184" s="18"/>
      <c r="K184" s="20"/>
      <c r="L184" s="20"/>
      <c r="M184" s="20"/>
      <c r="N184" s="20"/>
      <c r="O184" s="21"/>
      <c r="P184" s="22" t="n">
        <f aca="false">IF(OR($A184="",N(K184)=0),0,CEILING(K184*(1+IF($O184="",Taux_Compta,$O184))-0.005,Pas_Arrondi))</f>
        <v>0</v>
      </c>
      <c r="Q184" s="22" t="n">
        <f aca="false">IF(OR($A184="",N(L184)=0),0,CEILING(L184*(1+IF($O184="",Taux_Paye,$O184))-0.005,Pas_Arrondi))</f>
        <v>0</v>
      </c>
      <c r="R184" s="22" t="n">
        <f aca="false">IF(OR($A184="",N(M184)=0),0,CEILING(M184*(1+IF($O184="",Taux_Jur,$O184))-0.005,Pas_Arrondi))</f>
        <v>0</v>
      </c>
      <c r="S184" s="22" t="n">
        <f aca="false">IF(OR($A184="",N(N184)=0),0,CEILING(N184*(1+IF($O184="",Taux_PA,$O184))-0.005,Pas_Arrondi))</f>
        <v>0</v>
      </c>
      <c r="T184" s="22" t="str">
        <f aca="false">IF($A184="","",SUM(K184:N184))</f>
        <v/>
      </c>
      <c r="U184" s="22" t="str">
        <f aca="false">IF($A184="","",SUM(P184:S184))</f>
        <v/>
      </c>
      <c r="V184" s="22" t="str">
        <f aca="false">IF($A184="","",U184-T184)</f>
        <v/>
      </c>
      <c r="W184" s="23" t="str">
        <f aca="false">IF(OR($A184="",N(T184)=0),"",V184/T184)</f>
        <v/>
      </c>
      <c r="X184" s="18"/>
      <c r="Y184" s="18"/>
    </row>
    <row r="185" customFormat="false" ht="15" hidden="false" customHeight="false" outlineLevel="0" collapsed="false">
      <c r="A185" s="18"/>
      <c r="B185" s="18"/>
      <c r="C185" s="18"/>
      <c r="D185" s="18"/>
      <c r="E185" s="18"/>
      <c r="F185" s="18"/>
      <c r="G185" s="18"/>
      <c r="H185" s="19"/>
      <c r="I185" s="18"/>
      <c r="J185" s="18"/>
      <c r="K185" s="20"/>
      <c r="L185" s="20"/>
      <c r="M185" s="20"/>
      <c r="N185" s="20"/>
      <c r="O185" s="21"/>
      <c r="P185" s="22" t="n">
        <f aca="false">IF(OR($A185="",N(K185)=0),0,CEILING(K185*(1+IF($O185="",Taux_Compta,$O185))-0.005,Pas_Arrondi))</f>
        <v>0</v>
      </c>
      <c r="Q185" s="22" t="n">
        <f aca="false">IF(OR($A185="",N(L185)=0),0,CEILING(L185*(1+IF($O185="",Taux_Paye,$O185))-0.005,Pas_Arrondi))</f>
        <v>0</v>
      </c>
      <c r="R185" s="22" t="n">
        <f aca="false">IF(OR($A185="",N(M185)=0),0,CEILING(M185*(1+IF($O185="",Taux_Jur,$O185))-0.005,Pas_Arrondi))</f>
        <v>0</v>
      </c>
      <c r="S185" s="22" t="n">
        <f aca="false">IF(OR($A185="",N(N185)=0),0,CEILING(N185*(1+IF($O185="",Taux_PA,$O185))-0.005,Pas_Arrondi))</f>
        <v>0</v>
      </c>
      <c r="T185" s="22" t="str">
        <f aca="false">IF($A185="","",SUM(K185:N185))</f>
        <v/>
      </c>
      <c r="U185" s="22" t="str">
        <f aca="false">IF($A185="","",SUM(P185:S185))</f>
        <v/>
      </c>
      <c r="V185" s="22" t="str">
        <f aca="false">IF($A185="","",U185-T185)</f>
        <v/>
      </c>
      <c r="W185" s="23" t="str">
        <f aca="false">IF(OR($A185="",N(T185)=0),"",V185/T185)</f>
        <v/>
      </c>
      <c r="X185" s="18"/>
      <c r="Y185" s="18"/>
    </row>
    <row r="186" customFormat="false" ht="15" hidden="false" customHeight="false" outlineLevel="0" collapsed="false">
      <c r="A186" s="18"/>
      <c r="B186" s="18"/>
      <c r="C186" s="18"/>
      <c r="D186" s="18"/>
      <c r="E186" s="18"/>
      <c r="F186" s="18"/>
      <c r="G186" s="18"/>
      <c r="H186" s="19"/>
      <c r="I186" s="18"/>
      <c r="J186" s="18"/>
      <c r="K186" s="20"/>
      <c r="L186" s="20"/>
      <c r="M186" s="20"/>
      <c r="N186" s="20"/>
      <c r="O186" s="21"/>
      <c r="P186" s="22" t="n">
        <f aca="false">IF(OR($A186="",N(K186)=0),0,CEILING(K186*(1+IF($O186="",Taux_Compta,$O186))-0.005,Pas_Arrondi))</f>
        <v>0</v>
      </c>
      <c r="Q186" s="22" t="n">
        <f aca="false">IF(OR($A186="",N(L186)=0),0,CEILING(L186*(1+IF($O186="",Taux_Paye,$O186))-0.005,Pas_Arrondi))</f>
        <v>0</v>
      </c>
      <c r="R186" s="22" t="n">
        <f aca="false">IF(OR($A186="",N(M186)=0),0,CEILING(M186*(1+IF($O186="",Taux_Jur,$O186))-0.005,Pas_Arrondi))</f>
        <v>0</v>
      </c>
      <c r="S186" s="22" t="n">
        <f aca="false">IF(OR($A186="",N(N186)=0),0,CEILING(N186*(1+IF($O186="",Taux_PA,$O186))-0.005,Pas_Arrondi))</f>
        <v>0</v>
      </c>
      <c r="T186" s="22" t="str">
        <f aca="false">IF($A186="","",SUM(K186:N186))</f>
        <v/>
      </c>
      <c r="U186" s="22" t="str">
        <f aca="false">IF($A186="","",SUM(P186:S186))</f>
        <v/>
      </c>
      <c r="V186" s="22" t="str">
        <f aca="false">IF($A186="","",U186-T186)</f>
        <v/>
      </c>
      <c r="W186" s="23" t="str">
        <f aca="false">IF(OR($A186="",N(T186)=0),"",V186/T186)</f>
        <v/>
      </c>
      <c r="X186" s="18"/>
      <c r="Y186" s="18"/>
    </row>
    <row r="187" customFormat="false" ht="15" hidden="false" customHeight="false" outlineLevel="0" collapsed="false">
      <c r="A187" s="18"/>
      <c r="B187" s="18"/>
      <c r="C187" s="18"/>
      <c r="D187" s="18"/>
      <c r="E187" s="18"/>
      <c r="F187" s="18"/>
      <c r="G187" s="18"/>
      <c r="H187" s="19"/>
      <c r="I187" s="18"/>
      <c r="J187" s="18"/>
      <c r="K187" s="20"/>
      <c r="L187" s="20"/>
      <c r="M187" s="20"/>
      <c r="N187" s="20"/>
      <c r="O187" s="21"/>
      <c r="P187" s="22" t="n">
        <f aca="false">IF(OR($A187="",N(K187)=0),0,CEILING(K187*(1+IF($O187="",Taux_Compta,$O187))-0.005,Pas_Arrondi))</f>
        <v>0</v>
      </c>
      <c r="Q187" s="22" t="n">
        <f aca="false">IF(OR($A187="",N(L187)=0),0,CEILING(L187*(1+IF($O187="",Taux_Paye,$O187))-0.005,Pas_Arrondi))</f>
        <v>0</v>
      </c>
      <c r="R187" s="22" t="n">
        <f aca="false">IF(OR($A187="",N(M187)=0),0,CEILING(M187*(1+IF($O187="",Taux_Jur,$O187))-0.005,Pas_Arrondi))</f>
        <v>0</v>
      </c>
      <c r="S187" s="22" t="n">
        <f aca="false">IF(OR($A187="",N(N187)=0),0,CEILING(N187*(1+IF($O187="",Taux_PA,$O187))-0.005,Pas_Arrondi))</f>
        <v>0</v>
      </c>
      <c r="T187" s="22" t="str">
        <f aca="false">IF($A187="","",SUM(K187:N187))</f>
        <v/>
      </c>
      <c r="U187" s="22" t="str">
        <f aca="false">IF($A187="","",SUM(P187:S187))</f>
        <v/>
      </c>
      <c r="V187" s="22" t="str">
        <f aca="false">IF($A187="","",U187-T187)</f>
        <v/>
      </c>
      <c r="W187" s="23" t="str">
        <f aca="false">IF(OR($A187="",N(T187)=0),"",V187/T187)</f>
        <v/>
      </c>
      <c r="X187" s="18"/>
      <c r="Y187" s="18"/>
    </row>
    <row r="188" customFormat="false" ht="15" hidden="false" customHeight="false" outlineLevel="0" collapsed="false">
      <c r="A188" s="18"/>
      <c r="B188" s="18"/>
      <c r="C188" s="18"/>
      <c r="D188" s="18"/>
      <c r="E188" s="18"/>
      <c r="F188" s="18"/>
      <c r="G188" s="18"/>
      <c r="H188" s="19"/>
      <c r="I188" s="18"/>
      <c r="J188" s="18"/>
      <c r="K188" s="20"/>
      <c r="L188" s="20"/>
      <c r="M188" s="20"/>
      <c r="N188" s="20"/>
      <c r="O188" s="21"/>
      <c r="P188" s="22" t="n">
        <f aca="false">IF(OR($A188="",N(K188)=0),0,CEILING(K188*(1+IF($O188="",Taux_Compta,$O188))-0.005,Pas_Arrondi))</f>
        <v>0</v>
      </c>
      <c r="Q188" s="22" t="n">
        <f aca="false">IF(OR($A188="",N(L188)=0),0,CEILING(L188*(1+IF($O188="",Taux_Paye,$O188))-0.005,Pas_Arrondi))</f>
        <v>0</v>
      </c>
      <c r="R188" s="22" t="n">
        <f aca="false">IF(OR($A188="",N(M188)=0),0,CEILING(M188*(1+IF($O188="",Taux_Jur,$O188))-0.005,Pas_Arrondi))</f>
        <v>0</v>
      </c>
      <c r="S188" s="22" t="n">
        <f aca="false">IF(OR($A188="",N(N188)=0),0,CEILING(N188*(1+IF($O188="",Taux_PA,$O188))-0.005,Pas_Arrondi))</f>
        <v>0</v>
      </c>
      <c r="T188" s="22" t="str">
        <f aca="false">IF($A188="","",SUM(K188:N188))</f>
        <v/>
      </c>
      <c r="U188" s="22" t="str">
        <f aca="false">IF($A188="","",SUM(P188:S188))</f>
        <v/>
      </c>
      <c r="V188" s="22" t="str">
        <f aca="false">IF($A188="","",U188-T188)</f>
        <v/>
      </c>
      <c r="W188" s="23" t="str">
        <f aca="false">IF(OR($A188="",N(T188)=0),"",V188/T188)</f>
        <v/>
      </c>
      <c r="X188" s="18"/>
      <c r="Y188" s="18"/>
    </row>
    <row r="189" customFormat="false" ht="15" hidden="false" customHeight="false" outlineLevel="0" collapsed="false">
      <c r="A189" s="18"/>
      <c r="B189" s="18"/>
      <c r="C189" s="18"/>
      <c r="D189" s="18"/>
      <c r="E189" s="18"/>
      <c r="F189" s="18"/>
      <c r="G189" s="18"/>
      <c r="H189" s="19"/>
      <c r="I189" s="18"/>
      <c r="J189" s="18"/>
      <c r="K189" s="20"/>
      <c r="L189" s="20"/>
      <c r="M189" s="20"/>
      <c r="N189" s="20"/>
      <c r="O189" s="21"/>
      <c r="P189" s="22" t="n">
        <f aca="false">IF(OR($A189="",N(K189)=0),0,CEILING(K189*(1+IF($O189="",Taux_Compta,$O189))-0.005,Pas_Arrondi))</f>
        <v>0</v>
      </c>
      <c r="Q189" s="22" t="n">
        <f aca="false">IF(OR($A189="",N(L189)=0),0,CEILING(L189*(1+IF($O189="",Taux_Paye,$O189))-0.005,Pas_Arrondi))</f>
        <v>0</v>
      </c>
      <c r="R189" s="22" t="n">
        <f aca="false">IF(OR($A189="",N(M189)=0),0,CEILING(M189*(1+IF($O189="",Taux_Jur,$O189))-0.005,Pas_Arrondi))</f>
        <v>0</v>
      </c>
      <c r="S189" s="22" t="n">
        <f aca="false">IF(OR($A189="",N(N189)=0),0,CEILING(N189*(1+IF($O189="",Taux_PA,$O189))-0.005,Pas_Arrondi))</f>
        <v>0</v>
      </c>
      <c r="T189" s="22" t="str">
        <f aca="false">IF($A189="","",SUM(K189:N189))</f>
        <v/>
      </c>
      <c r="U189" s="22" t="str">
        <f aca="false">IF($A189="","",SUM(P189:S189))</f>
        <v/>
      </c>
      <c r="V189" s="22" t="str">
        <f aca="false">IF($A189="","",U189-T189)</f>
        <v/>
      </c>
      <c r="W189" s="23" t="str">
        <f aca="false">IF(OR($A189="",N(T189)=0),"",V189/T189)</f>
        <v/>
      </c>
      <c r="X189" s="18"/>
      <c r="Y189" s="18"/>
    </row>
    <row r="190" customFormat="false" ht="15" hidden="false" customHeight="false" outlineLevel="0" collapsed="false">
      <c r="A190" s="18"/>
      <c r="B190" s="18"/>
      <c r="C190" s="18"/>
      <c r="D190" s="18"/>
      <c r="E190" s="18"/>
      <c r="F190" s="18"/>
      <c r="G190" s="18"/>
      <c r="H190" s="19"/>
      <c r="I190" s="18"/>
      <c r="J190" s="18"/>
      <c r="K190" s="20"/>
      <c r="L190" s="20"/>
      <c r="M190" s="20"/>
      <c r="N190" s="20"/>
      <c r="O190" s="21"/>
      <c r="P190" s="22" t="n">
        <f aca="false">IF(OR($A190="",N(K190)=0),0,CEILING(K190*(1+IF($O190="",Taux_Compta,$O190))-0.005,Pas_Arrondi))</f>
        <v>0</v>
      </c>
      <c r="Q190" s="22" t="n">
        <f aca="false">IF(OR($A190="",N(L190)=0),0,CEILING(L190*(1+IF($O190="",Taux_Paye,$O190))-0.005,Pas_Arrondi))</f>
        <v>0</v>
      </c>
      <c r="R190" s="22" t="n">
        <f aca="false">IF(OR($A190="",N(M190)=0),0,CEILING(M190*(1+IF($O190="",Taux_Jur,$O190))-0.005,Pas_Arrondi))</f>
        <v>0</v>
      </c>
      <c r="S190" s="22" t="n">
        <f aca="false">IF(OR($A190="",N(N190)=0),0,CEILING(N190*(1+IF($O190="",Taux_PA,$O190))-0.005,Pas_Arrondi))</f>
        <v>0</v>
      </c>
      <c r="T190" s="22" t="str">
        <f aca="false">IF($A190="","",SUM(K190:N190))</f>
        <v/>
      </c>
      <c r="U190" s="22" t="str">
        <f aca="false">IF($A190="","",SUM(P190:S190))</f>
        <v/>
      </c>
      <c r="V190" s="22" t="str">
        <f aca="false">IF($A190="","",U190-T190)</f>
        <v/>
      </c>
      <c r="W190" s="23" t="str">
        <f aca="false">IF(OR($A190="",N(T190)=0),"",V190/T190)</f>
        <v/>
      </c>
      <c r="X190" s="18"/>
      <c r="Y190" s="18"/>
    </row>
    <row r="191" customFormat="false" ht="15" hidden="false" customHeight="false" outlineLevel="0" collapsed="false">
      <c r="A191" s="18"/>
      <c r="B191" s="18"/>
      <c r="C191" s="18"/>
      <c r="D191" s="18"/>
      <c r="E191" s="18"/>
      <c r="F191" s="18"/>
      <c r="G191" s="18"/>
      <c r="H191" s="19"/>
      <c r="I191" s="18"/>
      <c r="J191" s="18"/>
      <c r="K191" s="20"/>
      <c r="L191" s="20"/>
      <c r="M191" s="20"/>
      <c r="N191" s="20"/>
      <c r="O191" s="21"/>
      <c r="P191" s="22" t="n">
        <f aca="false">IF(OR($A191="",N(K191)=0),0,CEILING(K191*(1+IF($O191="",Taux_Compta,$O191))-0.005,Pas_Arrondi))</f>
        <v>0</v>
      </c>
      <c r="Q191" s="22" t="n">
        <f aca="false">IF(OR($A191="",N(L191)=0),0,CEILING(L191*(1+IF($O191="",Taux_Paye,$O191))-0.005,Pas_Arrondi))</f>
        <v>0</v>
      </c>
      <c r="R191" s="22" t="n">
        <f aca="false">IF(OR($A191="",N(M191)=0),0,CEILING(M191*(1+IF($O191="",Taux_Jur,$O191))-0.005,Pas_Arrondi))</f>
        <v>0</v>
      </c>
      <c r="S191" s="22" t="n">
        <f aca="false">IF(OR($A191="",N(N191)=0),0,CEILING(N191*(1+IF($O191="",Taux_PA,$O191))-0.005,Pas_Arrondi))</f>
        <v>0</v>
      </c>
      <c r="T191" s="22" t="str">
        <f aca="false">IF($A191="","",SUM(K191:N191))</f>
        <v/>
      </c>
      <c r="U191" s="22" t="str">
        <f aca="false">IF($A191="","",SUM(P191:S191))</f>
        <v/>
      </c>
      <c r="V191" s="22" t="str">
        <f aca="false">IF($A191="","",U191-T191)</f>
        <v/>
      </c>
      <c r="W191" s="23" t="str">
        <f aca="false">IF(OR($A191="",N(T191)=0),"",V191/T191)</f>
        <v/>
      </c>
      <c r="X191" s="18"/>
      <c r="Y191" s="18"/>
    </row>
    <row r="192" customFormat="false" ht="15" hidden="false" customHeight="false" outlineLevel="0" collapsed="false">
      <c r="A192" s="18"/>
      <c r="B192" s="18"/>
      <c r="C192" s="18"/>
      <c r="D192" s="18"/>
      <c r="E192" s="18"/>
      <c r="F192" s="18"/>
      <c r="G192" s="18"/>
      <c r="H192" s="19"/>
      <c r="I192" s="18"/>
      <c r="J192" s="18"/>
      <c r="K192" s="20"/>
      <c r="L192" s="20"/>
      <c r="M192" s="20"/>
      <c r="N192" s="20"/>
      <c r="O192" s="21"/>
      <c r="P192" s="22" t="n">
        <f aca="false">IF(OR($A192="",N(K192)=0),0,CEILING(K192*(1+IF($O192="",Taux_Compta,$O192))-0.005,Pas_Arrondi))</f>
        <v>0</v>
      </c>
      <c r="Q192" s="22" t="n">
        <f aca="false">IF(OR($A192="",N(L192)=0),0,CEILING(L192*(1+IF($O192="",Taux_Paye,$O192))-0.005,Pas_Arrondi))</f>
        <v>0</v>
      </c>
      <c r="R192" s="22" t="n">
        <f aca="false">IF(OR($A192="",N(M192)=0),0,CEILING(M192*(1+IF($O192="",Taux_Jur,$O192))-0.005,Pas_Arrondi))</f>
        <v>0</v>
      </c>
      <c r="S192" s="22" t="n">
        <f aca="false">IF(OR($A192="",N(N192)=0),0,CEILING(N192*(1+IF($O192="",Taux_PA,$O192))-0.005,Pas_Arrondi))</f>
        <v>0</v>
      </c>
      <c r="T192" s="22" t="str">
        <f aca="false">IF($A192="","",SUM(K192:N192))</f>
        <v/>
      </c>
      <c r="U192" s="22" t="str">
        <f aca="false">IF($A192="","",SUM(P192:S192))</f>
        <v/>
      </c>
      <c r="V192" s="22" t="str">
        <f aca="false">IF($A192="","",U192-T192)</f>
        <v/>
      </c>
      <c r="W192" s="23" t="str">
        <f aca="false">IF(OR($A192="",N(T192)=0),"",V192/T192)</f>
        <v/>
      </c>
      <c r="X192" s="18"/>
      <c r="Y192" s="18"/>
    </row>
    <row r="193" customFormat="false" ht="15" hidden="false" customHeight="false" outlineLevel="0" collapsed="false">
      <c r="A193" s="18"/>
      <c r="B193" s="18"/>
      <c r="C193" s="18"/>
      <c r="D193" s="18"/>
      <c r="E193" s="18"/>
      <c r="F193" s="18"/>
      <c r="G193" s="18"/>
      <c r="H193" s="19"/>
      <c r="I193" s="18"/>
      <c r="J193" s="18"/>
      <c r="K193" s="20"/>
      <c r="L193" s="20"/>
      <c r="M193" s="20"/>
      <c r="N193" s="20"/>
      <c r="O193" s="21"/>
      <c r="P193" s="22" t="n">
        <f aca="false">IF(OR($A193="",N(K193)=0),0,CEILING(K193*(1+IF($O193="",Taux_Compta,$O193))-0.005,Pas_Arrondi))</f>
        <v>0</v>
      </c>
      <c r="Q193" s="22" t="n">
        <f aca="false">IF(OR($A193="",N(L193)=0),0,CEILING(L193*(1+IF($O193="",Taux_Paye,$O193))-0.005,Pas_Arrondi))</f>
        <v>0</v>
      </c>
      <c r="R193" s="22" t="n">
        <f aca="false">IF(OR($A193="",N(M193)=0),0,CEILING(M193*(1+IF($O193="",Taux_Jur,$O193))-0.005,Pas_Arrondi))</f>
        <v>0</v>
      </c>
      <c r="S193" s="22" t="n">
        <f aca="false">IF(OR($A193="",N(N193)=0),0,CEILING(N193*(1+IF($O193="",Taux_PA,$O193))-0.005,Pas_Arrondi))</f>
        <v>0</v>
      </c>
      <c r="T193" s="22" t="str">
        <f aca="false">IF($A193="","",SUM(K193:N193))</f>
        <v/>
      </c>
      <c r="U193" s="22" t="str">
        <f aca="false">IF($A193="","",SUM(P193:S193))</f>
        <v/>
      </c>
      <c r="V193" s="22" t="str">
        <f aca="false">IF($A193="","",U193-T193)</f>
        <v/>
      </c>
      <c r="W193" s="23" t="str">
        <f aca="false">IF(OR($A193="",N(T193)=0),"",V193/T193)</f>
        <v/>
      </c>
      <c r="X193" s="18"/>
      <c r="Y193" s="18"/>
    </row>
    <row r="194" customFormat="false" ht="15" hidden="false" customHeight="false" outlineLevel="0" collapsed="false">
      <c r="A194" s="18"/>
      <c r="B194" s="18"/>
      <c r="C194" s="18"/>
      <c r="D194" s="18"/>
      <c r="E194" s="18"/>
      <c r="F194" s="18"/>
      <c r="G194" s="18"/>
      <c r="H194" s="19"/>
      <c r="I194" s="18"/>
      <c r="J194" s="18"/>
      <c r="K194" s="20"/>
      <c r="L194" s="20"/>
      <c r="M194" s="20"/>
      <c r="N194" s="20"/>
      <c r="O194" s="21"/>
      <c r="P194" s="22" t="n">
        <f aca="false">IF(OR($A194="",N(K194)=0),0,CEILING(K194*(1+IF($O194="",Taux_Compta,$O194))-0.005,Pas_Arrondi))</f>
        <v>0</v>
      </c>
      <c r="Q194" s="22" t="n">
        <f aca="false">IF(OR($A194="",N(L194)=0),0,CEILING(L194*(1+IF($O194="",Taux_Paye,$O194))-0.005,Pas_Arrondi))</f>
        <v>0</v>
      </c>
      <c r="R194" s="22" t="n">
        <f aca="false">IF(OR($A194="",N(M194)=0),0,CEILING(M194*(1+IF($O194="",Taux_Jur,$O194))-0.005,Pas_Arrondi))</f>
        <v>0</v>
      </c>
      <c r="S194" s="22" t="n">
        <f aca="false">IF(OR($A194="",N(N194)=0),0,CEILING(N194*(1+IF($O194="",Taux_PA,$O194))-0.005,Pas_Arrondi))</f>
        <v>0</v>
      </c>
      <c r="T194" s="22" t="str">
        <f aca="false">IF($A194="","",SUM(K194:N194))</f>
        <v/>
      </c>
      <c r="U194" s="22" t="str">
        <f aca="false">IF($A194="","",SUM(P194:S194))</f>
        <v/>
      </c>
      <c r="V194" s="22" t="str">
        <f aca="false">IF($A194="","",U194-T194)</f>
        <v/>
      </c>
      <c r="W194" s="23" t="str">
        <f aca="false">IF(OR($A194="",N(T194)=0),"",V194/T194)</f>
        <v/>
      </c>
      <c r="X194" s="18"/>
      <c r="Y194" s="18"/>
    </row>
    <row r="195" customFormat="false" ht="15" hidden="false" customHeight="false" outlineLevel="0" collapsed="false">
      <c r="A195" s="18"/>
      <c r="B195" s="18"/>
      <c r="C195" s="18"/>
      <c r="D195" s="18"/>
      <c r="E195" s="18"/>
      <c r="F195" s="18"/>
      <c r="G195" s="18"/>
      <c r="H195" s="19"/>
      <c r="I195" s="18"/>
      <c r="J195" s="18"/>
      <c r="K195" s="20"/>
      <c r="L195" s="20"/>
      <c r="M195" s="20"/>
      <c r="N195" s="20"/>
      <c r="O195" s="21"/>
      <c r="P195" s="22" t="n">
        <f aca="false">IF(OR($A195="",N(K195)=0),0,CEILING(K195*(1+IF($O195="",Taux_Compta,$O195))-0.005,Pas_Arrondi))</f>
        <v>0</v>
      </c>
      <c r="Q195" s="22" t="n">
        <f aca="false">IF(OR($A195="",N(L195)=0),0,CEILING(L195*(1+IF($O195="",Taux_Paye,$O195))-0.005,Pas_Arrondi))</f>
        <v>0</v>
      </c>
      <c r="R195" s="22" t="n">
        <f aca="false">IF(OR($A195="",N(M195)=0),0,CEILING(M195*(1+IF($O195="",Taux_Jur,$O195))-0.005,Pas_Arrondi))</f>
        <v>0</v>
      </c>
      <c r="S195" s="22" t="n">
        <f aca="false">IF(OR($A195="",N(N195)=0),0,CEILING(N195*(1+IF($O195="",Taux_PA,$O195))-0.005,Pas_Arrondi))</f>
        <v>0</v>
      </c>
      <c r="T195" s="22" t="str">
        <f aca="false">IF($A195="","",SUM(K195:N195))</f>
        <v/>
      </c>
      <c r="U195" s="22" t="str">
        <f aca="false">IF($A195="","",SUM(P195:S195))</f>
        <v/>
      </c>
      <c r="V195" s="22" t="str">
        <f aca="false">IF($A195="","",U195-T195)</f>
        <v/>
      </c>
      <c r="W195" s="23" t="str">
        <f aca="false">IF(OR($A195="",N(T195)=0),"",V195/T195)</f>
        <v/>
      </c>
      <c r="X195" s="18"/>
      <c r="Y195" s="18"/>
    </row>
    <row r="196" customFormat="false" ht="15" hidden="false" customHeight="false" outlineLevel="0" collapsed="false">
      <c r="A196" s="18"/>
      <c r="B196" s="18"/>
      <c r="C196" s="18"/>
      <c r="D196" s="18"/>
      <c r="E196" s="18"/>
      <c r="F196" s="18"/>
      <c r="G196" s="18"/>
      <c r="H196" s="19"/>
      <c r="I196" s="18"/>
      <c r="J196" s="18"/>
      <c r="K196" s="20"/>
      <c r="L196" s="20"/>
      <c r="M196" s="20"/>
      <c r="N196" s="20"/>
      <c r="O196" s="21"/>
      <c r="P196" s="22" t="n">
        <f aca="false">IF(OR($A196="",N(K196)=0),0,CEILING(K196*(1+IF($O196="",Taux_Compta,$O196))-0.005,Pas_Arrondi))</f>
        <v>0</v>
      </c>
      <c r="Q196" s="22" t="n">
        <f aca="false">IF(OR($A196="",N(L196)=0),0,CEILING(L196*(1+IF($O196="",Taux_Paye,$O196))-0.005,Pas_Arrondi))</f>
        <v>0</v>
      </c>
      <c r="R196" s="22" t="n">
        <f aca="false">IF(OR($A196="",N(M196)=0),0,CEILING(M196*(1+IF($O196="",Taux_Jur,$O196))-0.005,Pas_Arrondi))</f>
        <v>0</v>
      </c>
      <c r="S196" s="22" t="n">
        <f aca="false">IF(OR($A196="",N(N196)=0),0,CEILING(N196*(1+IF($O196="",Taux_PA,$O196))-0.005,Pas_Arrondi))</f>
        <v>0</v>
      </c>
      <c r="T196" s="22" t="str">
        <f aca="false">IF($A196="","",SUM(K196:N196))</f>
        <v/>
      </c>
      <c r="U196" s="22" t="str">
        <f aca="false">IF($A196="","",SUM(P196:S196))</f>
        <v/>
      </c>
      <c r="V196" s="22" t="str">
        <f aca="false">IF($A196="","",U196-T196)</f>
        <v/>
      </c>
      <c r="W196" s="23" t="str">
        <f aca="false">IF(OR($A196="",N(T196)=0),"",V196/T196)</f>
        <v/>
      </c>
      <c r="X196" s="18"/>
      <c r="Y196" s="18"/>
    </row>
    <row r="197" customFormat="false" ht="15" hidden="false" customHeight="false" outlineLevel="0" collapsed="false">
      <c r="A197" s="18"/>
      <c r="B197" s="18"/>
      <c r="C197" s="18"/>
      <c r="D197" s="18"/>
      <c r="E197" s="18"/>
      <c r="F197" s="18"/>
      <c r="G197" s="18"/>
      <c r="H197" s="19"/>
      <c r="I197" s="18"/>
      <c r="J197" s="18"/>
      <c r="K197" s="20"/>
      <c r="L197" s="20"/>
      <c r="M197" s="20"/>
      <c r="N197" s="20"/>
      <c r="O197" s="21"/>
      <c r="P197" s="22" t="n">
        <f aca="false">IF(OR($A197="",N(K197)=0),0,CEILING(K197*(1+IF($O197="",Taux_Compta,$O197))-0.005,Pas_Arrondi))</f>
        <v>0</v>
      </c>
      <c r="Q197" s="22" t="n">
        <f aca="false">IF(OR($A197="",N(L197)=0),0,CEILING(L197*(1+IF($O197="",Taux_Paye,$O197))-0.005,Pas_Arrondi))</f>
        <v>0</v>
      </c>
      <c r="R197" s="22" t="n">
        <f aca="false">IF(OR($A197="",N(M197)=0),0,CEILING(M197*(1+IF($O197="",Taux_Jur,$O197))-0.005,Pas_Arrondi))</f>
        <v>0</v>
      </c>
      <c r="S197" s="22" t="n">
        <f aca="false">IF(OR($A197="",N(N197)=0),0,CEILING(N197*(1+IF($O197="",Taux_PA,$O197))-0.005,Pas_Arrondi))</f>
        <v>0</v>
      </c>
      <c r="T197" s="22" t="str">
        <f aca="false">IF($A197="","",SUM(K197:N197))</f>
        <v/>
      </c>
      <c r="U197" s="22" t="str">
        <f aca="false">IF($A197="","",SUM(P197:S197))</f>
        <v/>
      </c>
      <c r="V197" s="22" t="str">
        <f aca="false">IF($A197="","",U197-T197)</f>
        <v/>
      </c>
      <c r="W197" s="23" t="str">
        <f aca="false">IF(OR($A197="",N(T197)=0),"",V197/T197)</f>
        <v/>
      </c>
      <c r="X197" s="18"/>
      <c r="Y197" s="18"/>
    </row>
    <row r="198" customFormat="false" ht="15" hidden="false" customHeight="false" outlineLevel="0" collapsed="false">
      <c r="A198" s="18"/>
      <c r="B198" s="18"/>
      <c r="C198" s="18"/>
      <c r="D198" s="18"/>
      <c r="E198" s="18"/>
      <c r="F198" s="18"/>
      <c r="G198" s="18"/>
      <c r="H198" s="19"/>
      <c r="I198" s="18"/>
      <c r="J198" s="18"/>
      <c r="K198" s="20"/>
      <c r="L198" s="20"/>
      <c r="M198" s="20"/>
      <c r="N198" s="20"/>
      <c r="O198" s="21"/>
      <c r="P198" s="22" t="n">
        <f aca="false">IF(OR($A198="",N(K198)=0),0,CEILING(K198*(1+IF($O198="",Taux_Compta,$O198))-0.005,Pas_Arrondi))</f>
        <v>0</v>
      </c>
      <c r="Q198" s="22" t="n">
        <f aca="false">IF(OR($A198="",N(L198)=0),0,CEILING(L198*(1+IF($O198="",Taux_Paye,$O198))-0.005,Pas_Arrondi))</f>
        <v>0</v>
      </c>
      <c r="R198" s="22" t="n">
        <f aca="false">IF(OR($A198="",N(M198)=0),0,CEILING(M198*(1+IF($O198="",Taux_Jur,$O198))-0.005,Pas_Arrondi))</f>
        <v>0</v>
      </c>
      <c r="S198" s="22" t="n">
        <f aca="false">IF(OR($A198="",N(N198)=0),0,CEILING(N198*(1+IF($O198="",Taux_PA,$O198))-0.005,Pas_Arrondi))</f>
        <v>0</v>
      </c>
      <c r="T198" s="22" t="str">
        <f aca="false">IF($A198="","",SUM(K198:N198))</f>
        <v/>
      </c>
      <c r="U198" s="22" t="str">
        <f aca="false">IF($A198="","",SUM(P198:S198))</f>
        <v/>
      </c>
      <c r="V198" s="22" t="str">
        <f aca="false">IF($A198="","",U198-T198)</f>
        <v/>
      </c>
      <c r="W198" s="23" t="str">
        <f aca="false">IF(OR($A198="",N(T198)=0),"",V198/T198)</f>
        <v/>
      </c>
      <c r="X198" s="18"/>
      <c r="Y198" s="18"/>
    </row>
    <row r="199" customFormat="false" ht="15" hidden="false" customHeight="false" outlineLevel="0" collapsed="false">
      <c r="A199" s="18"/>
      <c r="B199" s="18"/>
      <c r="C199" s="18"/>
      <c r="D199" s="18"/>
      <c r="E199" s="18"/>
      <c r="F199" s="18"/>
      <c r="G199" s="18"/>
      <c r="H199" s="19"/>
      <c r="I199" s="18"/>
      <c r="J199" s="18"/>
      <c r="K199" s="20"/>
      <c r="L199" s="20"/>
      <c r="M199" s="20"/>
      <c r="N199" s="20"/>
      <c r="O199" s="21"/>
      <c r="P199" s="22" t="n">
        <f aca="false">IF(OR($A199="",N(K199)=0),0,CEILING(K199*(1+IF($O199="",Taux_Compta,$O199))-0.005,Pas_Arrondi))</f>
        <v>0</v>
      </c>
      <c r="Q199" s="22" t="n">
        <f aca="false">IF(OR($A199="",N(L199)=0),0,CEILING(L199*(1+IF($O199="",Taux_Paye,$O199))-0.005,Pas_Arrondi))</f>
        <v>0</v>
      </c>
      <c r="R199" s="22" t="n">
        <f aca="false">IF(OR($A199="",N(M199)=0),0,CEILING(M199*(1+IF($O199="",Taux_Jur,$O199))-0.005,Pas_Arrondi))</f>
        <v>0</v>
      </c>
      <c r="S199" s="22" t="n">
        <f aca="false">IF(OR($A199="",N(N199)=0),0,CEILING(N199*(1+IF($O199="",Taux_PA,$O199))-0.005,Pas_Arrondi))</f>
        <v>0</v>
      </c>
      <c r="T199" s="22" t="str">
        <f aca="false">IF($A199="","",SUM(K199:N199))</f>
        <v/>
      </c>
      <c r="U199" s="22" t="str">
        <f aca="false">IF($A199="","",SUM(P199:S199))</f>
        <v/>
      </c>
      <c r="V199" s="22" t="str">
        <f aca="false">IF($A199="","",U199-T199)</f>
        <v/>
      </c>
      <c r="W199" s="23" t="str">
        <f aca="false">IF(OR($A199="",N(T199)=0),"",V199/T199)</f>
        <v/>
      </c>
      <c r="X199" s="18"/>
      <c r="Y199" s="18"/>
    </row>
    <row r="200" customFormat="false" ht="15" hidden="false" customHeight="false" outlineLevel="0" collapsed="false">
      <c r="A200" s="18"/>
      <c r="B200" s="18"/>
      <c r="C200" s="18"/>
      <c r="D200" s="18"/>
      <c r="E200" s="18"/>
      <c r="F200" s="18"/>
      <c r="G200" s="18"/>
      <c r="H200" s="19"/>
      <c r="I200" s="18"/>
      <c r="J200" s="18"/>
      <c r="K200" s="20"/>
      <c r="L200" s="20"/>
      <c r="M200" s="20"/>
      <c r="N200" s="20"/>
      <c r="O200" s="21"/>
      <c r="P200" s="22" t="n">
        <f aca="false">IF(OR($A200="",N(K200)=0),0,CEILING(K200*(1+IF($O200="",Taux_Compta,$O200))-0.005,Pas_Arrondi))</f>
        <v>0</v>
      </c>
      <c r="Q200" s="22" t="n">
        <f aca="false">IF(OR($A200="",N(L200)=0),0,CEILING(L200*(1+IF($O200="",Taux_Paye,$O200))-0.005,Pas_Arrondi))</f>
        <v>0</v>
      </c>
      <c r="R200" s="22" t="n">
        <f aca="false">IF(OR($A200="",N(M200)=0),0,CEILING(M200*(1+IF($O200="",Taux_Jur,$O200))-0.005,Pas_Arrondi))</f>
        <v>0</v>
      </c>
      <c r="S200" s="22" t="n">
        <f aca="false">IF(OR($A200="",N(N200)=0),0,CEILING(N200*(1+IF($O200="",Taux_PA,$O200))-0.005,Pas_Arrondi))</f>
        <v>0</v>
      </c>
      <c r="T200" s="22" t="str">
        <f aca="false">IF($A200="","",SUM(K200:N200))</f>
        <v/>
      </c>
      <c r="U200" s="22" t="str">
        <f aca="false">IF($A200="","",SUM(P200:S200))</f>
        <v/>
      </c>
      <c r="V200" s="22" t="str">
        <f aca="false">IF($A200="","",U200-T200)</f>
        <v/>
      </c>
      <c r="W200" s="23" t="str">
        <f aca="false">IF(OR($A200="",N(T200)=0),"",V200/T200)</f>
        <v/>
      </c>
      <c r="X200" s="18"/>
      <c r="Y200" s="18"/>
    </row>
    <row r="201" customFormat="false" ht="15" hidden="false" customHeight="false" outlineLevel="0" collapsed="false">
      <c r="A201" s="18"/>
      <c r="B201" s="18"/>
      <c r="C201" s="18"/>
      <c r="D201" s="18"/>
      <c r="E201" s="18"/>
      <c r="F201" s="18"/>
      <c r="G201" s="18"/>
      <c r="H201" s="19"/>
      <c r="I201" s="18"/>
      <c r="J201" s="18"/>
      <c r="K201" s="20"/>
      <c r="L201" s="20"/>
      <c r="M201" s="20"/>
      <c r="N201" s="20"/>
      <c r="O201" s="21"/>
      <c r="P201" s="22" t="n">
        <f aca="false">IF(OR($A201="",N(K201)=0),0,CEILING(K201*(1+IF($O201="",Taux_Compta,$O201))-0.005,Pas_Arrondi))</f>
        <v>0</v>
      </c>
      <c r="Q201" s="22" t="n">
        <f aca="false">IF(OR($A201="",N(L201)=0),0,CEILING(L201*(1+IF($O201="",Taux_Paye,$O201))-0.005,Pas_Arrondi))</f>
        <v>0</v>
      </c>
      <c r="R201" s="22" t="n">
        <f aca="false">IF(OR($A201="",N(M201)=0),0,CEILING(M201*(1+IF($O201="",Taux_Jur,$O201))-0.005,Pas_Arrondi))</f>
        <v>0</v>
      </c>
      <c r="S201" s="22" t="n">
        <f aca="false">IF(OR($A201="",N(N201)=0),0,CEILING(N201*(1+IF($O201="",Taux_PA,$O201))-0.005,Pas_Arrondi))</f>
        <v>0</v>
      </c>
      <c r="T201" s="22" t="str">
        <f aca="false">IF($A201="","",SUM(K201:N201))</f>
        <v/>
      </c>
      <c r="U201" s="22" t="str">
        <f aca="false">IF($A201="","",SUM(P201:S201))</f>
        <v/>
      </c>
      <c r="V201" s="22" t="str">
        <f aca="false">IF($A201="","",U201-T201)</f>
        <v/>
      </c>
      <c r="W201" s="23" t="str">
        <f aca="false">IF(OR($A201="",N(T201)=0),"",V201/T201)</f>
        <v/>
      </c>
      <c r="X201" s="18"/>
      <c r="Y201" s="18"/>
    </row>
    <row r="202" customFormat="false" ht="15" hidden="false" customHeight="false" outlineLevel="0" collapsed="false">
      <c r="A202" s="18"/>
      <c r="B202" s="18"/>
      <c r="C202" s="18"/>
      <c r="D202" s="18"/>
      <c r="E202" s="18"/>
      <c r="F202" s="18"/>
      <c r="G202" s="18"/>
      <c r="H202" s="19"/>
      <c r="I202" s="18"/>
      <c r="J202" s="18"/>
      <c r="K202" s="20"/>
      <c r="L202" s="20"/>
      <c r="M202" s="20"/>
      <c r="N202" s="20"/>
      <c r="O202" s="21"/>
      <c r="P202" s="22" t="n">
        <f aca="false">IF(OR($A202="",N(K202)=0),0,CEILING(K202*(1+IF($O202="",Taux_Compta,$O202))-0.005,Pas_Arrondi))</f>
        <v>0</v>
      </c>
      <c r="Q202" s="22" t="n">
        <f aca="false">IF(OR($A202="",N(L202)=0),0,CEILING(L202*(1+IF($O202="",Taux_Paye,$O202))-0.005,Pas_Arrondi))</f>
        <v>0</v>
      </c>
      <c r="R202" s="22" t="n">
        <f aca="false">IF(OR($A202="",N(M202)=0),0,CEILING(M202*(1+IF($O202="",Taux_Jur,$O202))-0.005,Pas_Arrondi))</f>
        <v>0</v>
      </c>
      <c r="S202" s="22" t="n">
        <f aca="false">IF(OR($A202="",N(N202)=0),0,CEILING(N202*(1+IF($O202="",Taux_PA,$O202))-0.005,Pas_Arrondi))</f>
        <v>0</v>
      </c>
      <c r="T202" s="22" t="str">
        <f aca="false">IF($A202="","",SUM(K202:N202))</f>
        <v/>
      </c>
      <c r="U202" s="22" t="str">
        <f aca="false">IF($A202="","",SUM(P202:S202))</f>
        <v/>
      </c>
      <c r="V202" s="22" t="str">
        <f aca="false">IF($A202="","",U202-T202)</f>
        <v/>
      </c>
      <c r="W202" s="23" t="str">
        <f aca="false">IF(OR($A202="",N(T202)=0),"",V202/T202)</f>
        <v/>
      </c>
      <c r="X202" s="18"/>
      <c r="Y202" s="18"/>
    </row>
    <row r="203" customFormat="false" ht="15" hidden="false" customHeight="false" outlineLevel="0" collapsed="false">
      <c r="A203" s="18"/>
      <c r="B203" s="18"/>
      <c r="C203" s="18"/>
      <c r="D203" s="18"/>
      <c r="E203" s="18"/>
      <c r="F203" s="18"/>
      <c r="G203" s="18"/>
      <c r="H203" s="19"/>
      <c r="I203" s="18"/>
      <c r="J203" s="18"/>
      <c r="K203" s="20"/>
      <c r="L203" s="20"/>
      <c r="M203" s="20"/>
      <c r="N203" s="20"/>
      <c r="O203" s="21"/>
      <c r="P203" s="22" t="n">
        <f aca="false">IF(OR($A203="",N(K203)=0),0,CEILING(K203*(1+IF($O203="",Taux_Compta,$O203))-0.005,Pas_Arrondi))</f>
        <v>0</v>
      </c>
      <c r="Q203" s="22" t="n">
        <f aca="false">IF(OR($A203="",N(L203)=0),0,CEILING(L203*(1+IF($O203="",Taux_Paye,$O203))-0.005,Pas_Arrondi))</f>
        <v>0</v>
      </c>
      <c r="R203" s="22" t="n">
        <f aca="false">IF(OR($A203="",N(M203)=0),0,CEILING(M203*(1+IF($O203="",Taux_Jur,$O203))-0.005,Pas_Arrondi))</f>
        <v>0</v>
      </c>
      <c r="S203" s="22" t="n">
        <f aca="false">IF(OR($A203="",N(N203)=0),0,CEILING(N203*(1+IF($O203="",Taux_PA,$O203))-0.005,Pas_Arrondi))</f>
        <v>0</v>
      </c>
      <c r="T203" s="22" t="str">
        <f aca="false">IF($A203="","",SUM(K203:N203))</f>
        <v/>
      </c>
      <c r="U203" s="22" t="str">
        <f aca="false">IF($A203="","",SUM(P203:S203))</f>
        <v/>
      </c>
      <c r="V203" s="22" t="str">
        <f aca="false">IF($A203="","",U203-T203)</f>
        <v/>
      </c>
      <c r="W203" s="23" t="str">
        <f aca="false">IF(OR($A203="",N(T203)=0),"",V203/T203)</f>
        <v/>
      </c>
      <c r="X203" s="18"/>
      <c r="Y203" s="18"/>
    </row>
    <row r="204" customFormat="false" ht="15" hidden="false" customHeight="false" outlineLevel="0" collapsed="false">
      <c r="A204" s="18"/>
      <c r="B204" s="18"/>
      <c r="C204" s="18"/>
      <c r="D204" s="18"/>
      <c r="E204" s="18"/>
      <c r="F204" s="18"/>
      <c r="G204" s="18"/>
      <c r="H204" s="19"/>
      <c r="I204" s="18"/>
      <c r="J204" s="18"/>
      <c r="K204" s="20"/>
      <c r="L204" s="20"/>
      <c r="M204" s="20"/>
      <c r="N204" s="20"/>
      <c r="O204" s="21"/>
      <c r="P204" s="22" t="n">
        <f aca="false">IF(OR($A204="",N(K204)=0),0,CEILING(K204*(1+IF($O204="",Taux_Compta,$O204))-0.005,Pas_Arrondi))</f>
        <v>0</v>
      </c>
      <c r="Q204" s="22" t="n">
        <f aca="false">IF(OR($A204="",N(L204)=0),0,CEILING(L204*(1+IF($O204="",Taux_Paye,$O204))-0.005,Pas_Arrondi))</f>
        <v>0</v>
      </c>
      <c r="R204" s="22" t="n">
        <f aca="false">IF(OR($A204="",N(M204)=0),0,CEILING(M204*(1+IF($O204="",Taux_Jur,$O204))-0.005,Pas_Arrondi))</f>
        <v>0</v>
      </c>
      <c r="S204" s="22" t="n">
        <f aca="false">IF(OR($A204="",N(N204)=0),0,CEILING(N204*(1+IF($O204="",Taux_PA,$O204))-0.005,Pas_Arrondi))</f>
        <v>0</v>
      </c>
      <c r="T204" s="22" t="str">
        <f aca="false">IF($A204="","",SUM(K204:N204))</f>
        <v/>
      </c>
      <c r="U204" s="22" t="str">
        <f aca="false">IF($A204="","",SUM(P204:S204))</f>
        <v/>
      </c>
      <c r="V204" s="22" t="str">
        <f aca="false">IF($A204="","",U204-T204)</f>
        <v/>
      </c>
      <c r="W204" s="23" t="str">
        <f aca="false">IF(OR($A204="",N(T204)=0),"",V204/T204)</f>
        <v/>
      </c>
      <c r="X204" s="18"/>
      <c r="Y204" s="18"/>
    </row>
    <row r="205" customFormat="false" ht="15" hidden="false" customHeight="false" outlineLevel="0" collapsed="false">
      <c r="A205" s="18"/>
      <c r="B205" s="18"/>
      <c r="C205" s="18"/>
      <c r="D205" s="18"/>
      <c r="E205" s="18"/>
      <c r="F205" s="18"/>
      <c r="G205" s="18"/>
      <c r="H205" s="19"/>
      <c r="I205" s="18"/>
      <c r="J205" s="18"/>
      <c r="K205" s="20"/>
      <c r="L205" s="20"/>
      <c r="M205" s="20"/>
      <c r="N205" s="20"/>
      <c r="O205" s="21"/>
      <c r="P205" s="22" t="n">
        <f aca="false">IF(OR($A205="",N(K205)=0),0,CEILING(K205*(1+IF($O205="",Taux_Compta,$O205))-0.005,Pas_Arrondi))</f>
        <v>0</v>
      </c>
      <c r="Q205" s="22" t="n">
        <f aca="false">IF(OR($A205="",N(L205)=0),0,CEILING(L205*(1+IF($O205="",Taux_Paye,$O205))-0.005,Pas_Arrondi))</f>
        <v>0</v>
      </c>
      <c r="R205" s="22" t="n">
        <f aca="false">IF(OR($A205="",N(M205)=0),0,CEILING(M205*(1+IF($O205="",Taux_Jur,$O205))-0.005,Pas_Arrondi))</f>
        <v>0</v>
      </c>
      <c r="S205" s="22" t="n">
        <f aca="false">IF(OR($A205="",N(N205)=0),0,CEILING(N205*(1+IF($O205="",Taux_PA,$O205))-0.005,Pas_Arrondi))</f>
        <v>0</v>
      </c>
      <c r="T205" s="22" t="str">
        <f aca="false">IF($A205="","",SUM(K205:N205))</f>
        <v/>
      </c>
      <c r="U205" s="22" t="str">
        <f aca="false">IF($A205="","",SUM(P205:S205))</f>
        <v/>
      </c>
      <c r="V205" s="22" t="str">
        <f aca="false">IF($A205="","",U205-T205)</f>
        <v/>
      </c>
      <c r="W205" s="23" t="str">
        <f aca="false">IF(OR($A205="",N(T205)=0),"",V205/T205)</f>
        <v/>
      </c>
      <c r="X205" s="18"/>
      <c r="Y205" s="18"/>
    </row>
    <row r="206" customFormat="false" ht="15" hidden="false" customHeight="false" outlineLevel="0" collapsed="false">
      <c r="A206" s="18"/>
      <c r="B206" s="18"/>
      <c r="C206" s="18"/>
      <c r="D206" s="18"/>
      <c r="E206" s="18"/>
      <c r="F206" s="18"/>
      <c r="G206" s="18"/>
      <c r="H206" s="19"/>
      <c r="I206" s="18"/>
      <c r="J206" s="18"/>
      <c r="K206" s="20"/>
      <c r="L206" s="20"/>
      <c r="M206" s="20"/>
      <c r="N206" s="20"/>
      <c r="O206" s="21"/>
      <c r="P206" s="22" t="n">
        <f aca="false">IF(OR($A206="",N(K206)=0),0,CEILING(K206*(1+IF($O206="",Taux_Compta,$O206))-0.005,Pas_Arrondi))</f>
        <v>0</v>
      </c>
      <c r="Q206" s="22" t="n">
        <f aca="false">IF(OR($A206="",N(L206)=0),0,CEILING(L206*(1+IF($O206="",Taux_Paye,$O206))-0.005,Pas_Arrondi))</f>
        <v>0</v>
      </c>
      <c r="R206" s="22" t="n">
        <f aca="false">IF(OR($A206="",N(M206)=0),0,CEILING(M206*(1+IF($O206="",Taux_Jur,$O206))-0.005,Pas_Arrondi))</f>
        <v>0</v>
      </c>
      <c r="S206" s="22" t="n">
        <f aca="false">IF(OR($A206="",N(N206)=0),0,CEILING(N206*(1+IF($O206="",Taux_PA,$O206))-0.005,Pas_Arrondi))</f>
        <v>0</v>
      </c>
      <c r="T206" s="22" t="str">
        <f aca="false">IF($A206="","",SUM(K206:N206))</f>
        <v/>
      </c>
      <c r="U206" s="22" t="str">
        <f aca="false">IF($A206="","",SUM(P206:S206))</f>
        <v/>
      </c>
      <c r="V206" s="22" t="str">
        <f aca="false">IF($A206="","",U206-T206)</f>
        <v/>
      </c>
      <c r="W206" s="23" t="str">
        <f aca="false">IF(OR($A206="",N(T206)=0),"",V206/T206)</f>
        <v/>
      </c>
      <c r="X206" s="18"/>
      <c r="Y206" s="18"/>
    </row>
    <row r="207" customFormat="false" ht="15" hidden="false" customHeight="false" outlineLevel="0" collapsed="false">
      <c r="A207" s="18"/>
      <c r="B207" s="18"/>
      <c r="C207" s="18"/>
      <c r="D207" s="18"/>
      <c r="E207" s="18"/>
      <c r="F207" s="18"/>
      <c r="G207" s="18"/>
      <c r="H207" s="19"/>
      <c r="I207" s="18"/>
      <c r="J207" s="18"/>
      <c r="K207" s="20"/>
      <c r="L207" s="20"/>
      <c r="M207" s="20"/>
      <c r="N207" s="20"/>
      <c r="O207" s="21"/>
      <c r="P207" s="22" t="n">
        <f aca="false">IF(OR($A207="",N(K207)=0),0,CEILING(K207*(1+IF($O207="",Taux_Compta,$O207))-0.005,Pas_Arrondi))</f>
        <v>0</v>
      </c>
      <c r="Q207" s="22" t="n">
        <f aca="false">IF(OR($A207="",N(L207)=0),0,CEILING(L207*(1+IF($O207="",Taux_Paye,$O207))-0.005,Pas_Arrondi))</f>
        <v>0</v>
      </c>
      <c r="R207" s="22" t="n">
        <f aca="false">IF(OR($A207="",N(M207)=0),0,CEILING(M207*(1+IF($O207="",Taux_Jur,$O207))-0.005,Pas_Arrondi))</f>
        <v>0</v>
      </c>
      <c r="S207" s="22" t="n">
        <f aca="false">IF(OR($A207="",N(N207)=0),0,CEILING(N207*(1+IF($O207="",Taux_PA,$O207))-0.005,Pas_Arrondi))</f>
        <v>0</v>
      </c>
      <c r="T207" s="22" t="str">
        <f aca="false">IF($A207="","",SUM(K207:N207))</f>
        <v/>
      </c>
      <c r="U207" s="22" t="str">
        <f aca="false">IF($A207="","",SUM(P207:S207))</f>
        <v/>
      </c>
      <c r="V207" s="22" t="str">
        <f aca="false">IF($A207="","",U207-T207)</f>
        <v/>
      </c>
      <c r="W207" s="23" t="str">
        <f aca="false">IF(OR($A207="",N(T207)=0),"",V207/T207)</f>
        <v/>
      </c>
      <c r="X207" s="18"/>
      <c r="Y207" s="18"/>
    </row>
    <row r="208" customFormat="false" ht="15" hidden="false" customHeight="false" outlineLevel="0" collapsed="false">
      <c r="A208" s="18"/>
      <c r="B208" s="18"/>
      <c r="C208" s="18"/>
      <c r="D208" s="18"/>
      <c r="E208" s="18"/>
      <c r="F208" s="18"/>
      <c r="G208" s="18"/>
      <c r="H208" s="19"/>
      <c r="I208" s="18"/>
      <c r="J208" s="18"/>
      <c r="K208" s="20"/>
      <c r="L208" s="20"/>
      <c r="M208" s="20"/>
      <c r="N208" s="20"/>
      <c r="O208" s="21"/>
      <c r="P208" s="22" t="n">
        <f aca="false">IF(OR($A208="",N(K208)=0),0,CEILING(K208*(1+IF($O208="",Taux_Compta,$O208))-0.005,Pas_Arrondi))</f>
        <v>0</v>
      </c>
      <c r="Q208" s="22" t="n">
        <f aca="false">IF(OR($A208="",N(L208)=0),0,CEILING(L208*(1+IF($O208="",Taux_Paye,$O208))-0.005,Pas_Arrondi))</f>
        <v>0</v>
      </c>
      <c r="R208" s="22" t="n">
        <f aca="false">IF(OR($A208="",N(M208)=0),0,CEILING(M208*(1+IF($O208="",Taux_Jur,$O208))-0.005,Pas_Arrondi))</f>
        <v>0</v>
      </c>
      <c r="S208" s="22" t="n">
        <f aca="false">IF(OR($A208="",N(N208)=0),0,CEILING(N208*(1+IF($O208="",Taux_PA,$O208))-0.005,Pas_Arrondi))</f>
        <v>0</v>
      </c>
      <c r="T208" s="22" t="str">
        <f aca="false">IF($A208="","",SUM(K208:N208))</f>
        <v/>
      </c>
      <c r="U208" s="22" t="str">
        <f aca="false">IF($A208="","",SUM(P208:S208))</f>
        <v/>
      </c>
      <c r="V208" s="22" t="str">
        <f aca="false">IF($A208="","",U208-T208)</f>
        <v/>
      </c>
      <c r="W208" s="23" t="str">
        <f aca="false">IF(OR($A208="",N(T208)=0),"",V208/T208)</f>
        <v/>
      </c>
      <c r="X208" s="18"/>
      <c r="Y208" s="18"/>
    </row>
    <row r="209" customFormat="false" ht="15" hidden="false" customHeight="false" outlineLevel="0" collapsed="false">
      <c r="A209" s="18"/>
      <c r="B209" s="18"/>
      <c r="C209" s="18"/>
      <c r="D209" s="18"/>
      <c r="E209" s="18"/>
      <c r="F209" s="18"/>
      <c r="G209" s="18"/>
      <c r="H209" s="19"/>
      <c r="I209" s="18"/>
      <c r="J209" s="18"/>
      <c r="K209" s="20"/>
      <c r="L209" s="20"/>
      <c r="M209" s="20"/>
      <c r="N209" s="20"/>
      <c r="O209" s="21"/>
      <c r="P209" s="22" t="n">
        <f aca="false">IF(OR($A209="",N(K209)=0),0,CEILING(K209*(1+IF($O209="",Taux_Compta,$O209))-0.005,Pas_Arrondi))</f>
        <v>0</v>
      </c>
      <c r="Q209" s="22" t="n">
        <f aca="false">IF(OR($A209="",N(L209)=0),0,CEILING(L209*(1+IF($O209="",Taux_Paye,$O209))-0.005,Pas_Arrondi))</f>
        <v>0</v>
      </c>
      <c r="R209" s="22" t="n">
        <f aca="false">IF(OR($A209="",N(M209)=0),0,CEILING(M209*(1+IF($O209="",Taux_Jur,$O209))-0.005,Pas_Arrondi))</f>
        <v>0</v>
      </c>
      <c r="S209" s="22" t="n">
        <f aca="false">IF(OR($A209="",N(N209)=0),0,CEILING(N209*(1+IF($O209="",Taux_PA,$O209))-0.005,Pas_Arrondi))</f>
        <v>0</v>
      </c>
      <c r="T209" s="22" t="str">
        <f aca="false">IF($A209="","",SUM(K209:N209))</f>
        <v/>
      </c>
      <c r="U209" s="22" t="str">
        <f aca="false">IF($A209="","",SUM(P209:S209))</f>
        <v/>
      </c>
      <c r="V209" s="22" t="str">
        <f aca="false">IF($A209="","",U209-T209)</f>
        <v/>
      </c>
      <c r="W209" s="23" t="str">
        <f aca="false">IF(OR($A209="",N(T209)=0),"",V209/T209)</f>
        <v/>
      </c>
      <c r="X209" s="18"/>
      <c r="Y209" s="18"/>
    </row>
    <row r="210" customFormat="false" ht="15" hidden="false" customHeight="false" outlineLevel="0" collapsed="false">
      <c r="A210" s="18"/>
      <c r="B210" s="18"/>
      <c r="C210" s="18"/>
      <c r="D210" s="18"/>
      <c r="E210" s="18"/>
      <c r="F210" s="18"/>
      <c r="G210" s="18"/>
      <c r="H210" s="19"/>
      <c r="I210" s="18"/>
      <c r="J210" s="18"/>
      <c r="K210" s="20"/>
      <c r="L210" s="20"/>
      <c r="M210" s="20"/>
      <c r="N210" s="20"/>
      <c r="O210" s="21"/>
      <c r="P210" s="22" t="n">
        <f aca="false">IF(OR($A210="",N(K210)=0),0,CEILING(K210*(1+IF($O210="",Taux_Compta,$O210))-0.005,Pas_Arrondi))</f>
        <v>0</v>
      </c>
      <c r="Q210" s="22" t="n">
        <f aca="false">IF(OR($A210="",N(L210)=0),0,CEILING(L210*(1+IF($O210="",Taux_Paye,$O210))-0.005,Pas_Arrondi))</f>
        <v>0</v>
      </c>
      <c r="R210" s="22" t="n">
        <f aca="false">IF(OR($A210="",N(M210)=0),0,CEILING(M210*(1+IF($O210="",Taux_Jur,$O210))-0.005,Pas_Arrondi))</f>
        <v>0</v>
      </c>
      <c r="S210" s="22" t="n">
        <f aca="false">IF(OR($A210="",N(N210)=0),0,CEILING(N210*(1+IF($O210="",Taux_PA,$O210))-0.005,Pas_Arrondi))</f>
        <v>0</v>
      </c>
      <c r="T210" s="22" t="str">
        <f aca="false">IF($A210="","",SUM(K210:N210))</f>
        <v/>
      </c>
      <c r="U210" s="22" t="str">
        <f aca="false">IF($A210="","",SUM(P210:S210))</f>
        <v/>
      </c>
      <c r="V210" s="22" t="str">
        <f aca="false">IF($A210="","",U210-T210)</f>
        <v/>
      </c>
      <c r="W210" s="23" t="str">
        <f aca="false">IF(OR($A210="",N(T210)=0),"",V210/T210)</f>
        <v/>
      </c>
      <c r="X210" s="18"/>
      <c r="Y210" s="18"/>
    </row>
    <row r="211" customFormat="false" ht="15" hidden="false" customHeight="false" outlineLevel="0" collapsed="false">
      <c r="A211" s="18"/>
      <c r="B211" s="18"/>
      <c r="C211" s="18"/>
      <c r="D211" s="18"/>
      <c r="E211" s="18"/>
      <c r="F211" s="18"/>
      <c r="G211" s="18"/>
      <c r="H211" s="19"/>
      <c r="I211" s="18"/>
      <c r="J211" s="18"/>
      <c r="K211" s="20"/>
      <c r="L211" s="20"/>
      <c r="M211" s="20"/>
      <c r="N211" s="20"/>
      <c r="O211" s="21"/>
      <c r="P211" s="22" t="n">
        <f aca="false">IF(OR($A211="",N(K211)=0),0,CEILING(K211*(1+IF($O211="",Taux_Compta,$O211))-0.005,Pas_Arrondi))</f>
        <v>0</v>
      </c>
      <c r="Q211" s="22" t="n">
        <f aca="false">IF(OR($A211="",N(L211)=0),0,CEILING(L211*(1+IF($O211="",Taux_Paye,$O211))-0.005,Pas_Arrondi))</f>
        <v>0</v>
      </c>
      <c r="R211" s="22" t="n">
        <f aca="false">IF(OR($A211="",N(M211)=0),0,CEILING(M211*(1+IF($O211="",Taux_Jur,$O211))-0.005,Pas_Arrondi))</f>
        <v>0</v>
      </c>
      <c r="S211" s="22" t="n">
        <f aca="false">IF(OR($A211="",N(N211)=0),0,CEILING(N211*(1+IF($O211="",Taux_PA,$O211))-0.005,Pas_Arrondi))</f>
        <v>0</v>
      </c>
      <c r="T211" s="22" t="str">
        <f aca="false">IF($A211="","",SUM(K211:N211))</f>
        <v/>
      </c>
      <c r="U211" s="22" t="str">
        <f aca="false">IF($A211="","",SUM(P211:S211))</f>
        <v/>
      </c>
      <c r="V211" s="22" t="str">
        <f aca="false">IF($A211="","",U211-T211)</f>
        <v/>
      </c>
      <c r="W211" s="23" t="str">
        <f aca="false">IF(OR($A211="",N(T211)=0),"",V211/T211)</f>
        <v/>
      </c>
      <c r="X211" s="18"/>
      <c r="Y211" s="18"/>
    </row>
    <row r="212" customFormat="false" ht="15" hidden="false" customHeight="false" outlineLevel="0" collapsed="false">
      <c r="A212" s="18"/>
      <c r="B212" s="18"/>
      <c r="C212" s="18"/>
      <c r="D212" s="18"/>
      <c r="E212" s="18"/>
      <c r="F212" s="18"/>
      <c r="G212" s="18"/>
      <c r="H212" s="19"/>
      <c r="I212" s="18"/>
      <c r="J212" s="18"/>
      <c r="K212" s="20"/>
      <c r="L212" s="20"/>
      <c r="M212" s="20"/>
      <c r="N212" s="20"/>
      <c r="O212" s="21"/>
      <c r="P212" s="22" t="n">
        <f aca="false">IF(OR($A212="",N(K212)=0),0,CEILING(K212*(1+IF($O212="",Taux_Compta,$O212))-0.005,Pas_Arrondi))</f>
        <v>0</v>
      </c>
      <c r="Q212" s="22" t="n">
        <f aca="false">IF(OR($A212="",N(L212)=0),0,CEILING(L212*(1+IF($O212="",Taux_Paye,$O212))-0.005,Pas_Arrondi))</f>
        <v>0</v>
      </c>
      <c r="R212" s="22" t="n">
        <f aca="false">IF(OR($A212="",N(M212)=0),0,CEILING(M212*(1+IF($O212="",Taux_Jur,$O212))-0.005,Pas_Arrondi))</f>
        <v>0</v>
      </c>
      <c r="S212" s="22" t="n">
        <f aca="false">IF(OR($A212="",N(N212)=0),0,CEILING(N212*(1+IF($O212="",Taux_PA,$O212))-0.005,Pas_Arrondi))</f>
        <v>0</v>
      </c>
      <c r="T212" s="22" t="str">
        <f aca="false">IF($A212="","",SUM(K212:N212))</f>
        <v/>
      </c>
      <c r="U212" s="22" t="str">
        <f aca="false">IF($A212="","",SUM(P212:S212))</f>
        <v/>
      </c>
      <c r="V212" s="22" t="str">
        <f aca="false">IF($A212="","",U212-T212)</f>
        <v/>
      </c>
      <c r="W212" s="23" t="str">
        <f aca="false">IF(OR($A212="",N(T212)=0),"",V212/T212)</f>
        <v/>
      </c>
      <c r="X212" s="18"/>
      <c r="Y212" s="18"/>
    </row>
    <row r="213" customFormat="false" ht="15" hidden="false" customHeight="false" outlineLevel="0" collapsed="false">
      <c r="A213" s="18"/>
      <c r="B213" s="18"/>
      <c r="C213" s="18"/>
      <c r="D213" s="18"/>
      <c r="E213" s="18"/>
      <c r="F213" s="18"/>
      <c r="G213" s="18"/>
      <c r="H213" s="19"/>
      <c r="I213" s="18"/>
      <c r="J213" s="18"/>
      <c r="K213" s="20"/>
      <c r="L213" s="20"/>
      <c r="M213" s="20"/>
      <c r="N213" s="20"/>
      <c r="O213" s="21"/>
      <c r="P213" s="22" t="n">
        <f aca="false">IF(OR($A213="",N(K213)=0),0,CEILING(K213*(1+IF($O213="",Taux_Compta,$O213))-0.005,Pas_Arrondi))</f>
        <v>0</v>
      </c>
      <c r="Q213" s="22" t="n">
        <f aca="false">IF(OR($A213="",N(L213)=0),0,CEILING(L213*(1+IF($O213="",Taux_Paye,$O213))-0.005,Pas_Arrondi))</f>
        <v>0</v>
      </c>
      <c r="R213" s="22" t="n">
        <f aca="false">IF(OR($A213="",N(M213)=0),0,CEILING(M213*(1+IF($O213="",Taux_Jur,$O213))-0.005,Pas_Arrondi))</f>
        <v>0</v>
      </c>
      <c r="S213" s="22" t="n">
        <f aca="false">IF(OR($A213="",N(N213)=0),0,CEILING(N213*(1+IF($O213="",Taux_PA,$O213))-0.005,Pas_Arrondi))</f>
        <v>0</v>
      </c>
      <c r="T213" s="22" t="str">
        <f aca="false">IF($A213="","",SUM(K213:N213))</f>
        <v/>
      </c>
      <c r="U213" s="22" t="str">
        <f aca="false">IF($A213="","",SUM(P213:S213))</f>
        <v/>
      </c>
      <c r="V213" s="22" t="str">
        <f aca="false">IF($A213="","",U213-T213)</f>
        <v/>
      </c>
      <c r="W213" s="23" t="str">
        <f aca="false">IF(OR($A213="",N(T213)=0),"",V213/T213)</f>
        <v/>
      </c>
      <c r="X213" s="18"/>
      <c r="Y213" s="18"/>
    </row>
    <row r="214" customFormat="false" ht="15" hidden="false" customHeight="false" outlineLevel="0" collapsed="false">
      <c r="A214" s="18"/>
      <c r="B214" s="18"/>
      <c r="C214" s="18"/>
      <c r="D214" s="18"/>
      <c r="E214" s="18"/>
      <c r="F214" s="18"/>
      <c r="G214" s="18"/>
      <c r="H214" s="19"/>
      <c r="I214" s="18"/>
      <c r="J214" s="18"/>
      <c r="K214" s="20"/>
      <c r="L214" s="20"/>
      <c r="M214" s="20"/>
      <c r="N214" s="20"/>
      <c r="O214" s="21"/>
      <c r="P214" s="22" t="n">
        <f aca="false">IF(OR($A214="",N(K214)=0),0,CEILING(K214*(1+IF($O214="",Taux_Compta,$O214))-0.005,Pas_Arrondi))</f>
        <v>0</v>
      </c>
      <c r="Q214" s="22" t="n">
        <f aca="false">IF(OR($A214="",N(L214)=0),0,CEILING(L214*(1+IF($O214="",Taux_Paye,$O214))-0.005,Pas_Arrondi))</f>
        <v>0</v>
      </c>
      <c r="R214" s="22" t="n">
        <f aca="false">IF(OR($A214="",N(M214)=0),0,CEILING(M214*(1+IF($O214="",Taux_Jur,$O214))-0.005,Pas_Arrondi))</f>
        <v>0</v>
      </c>
      <c r="S214" s="22" t="n">
        <f aca="false">IF(OR($A214="",N(N214)=0),0,CEILING(N214*(1+IF($O214="",Taux_PA,$O214))-0.005,Pas_Arrondi))</f>
        <v>0</v>
      </c>
      <c r="T214" s="22" t="str">
        <f aca="false">IF($A214="","",SUM(K214:N214))</f>
        <v/>
      </c>
      <c r="U214" s="22" t="str">
        <f aca="false">IF($A214="","",SUM(P214:S214))</f>
        <v/>
      </c>
      <c r="V214" s="22" t="str">
        <f aca="false">IF($A214="","",U214-T214)</f>
        <v/>
      </c>
      <c r="W214" s="23" t="str">
        <f aca="false">IF(OR($A214="",N(T214)=0),"",V214/T214)</f>
        <v/>
      </c>
      <c r="X214" s="18"/>
      <c r="Y214" s="18"/>
    </row>
    <row r="215" customFormat="false" ht="15" hidden="false" customHeight="false" outlineLevel="0" collapsed="false">
      <c r="A215" s="18"/>
      <c r="B215" s="18"/>
      <c r="C215" s="18"/>
      <c r="D215" s="18"/>
      <c r="E215" s="18"/>
      <c r="F215" s="18"/>
      <c r="G215" s="18"/>
      <c r="H215" s="19"/>
      <c r="I215" s="18"/>
      <c r="J215" s="18"/>
      <c r="K215" s="20"/>
      <c r="L215" s="20"/>
      <c r="M215" s="20"/>
      <c r="N215" s="20"/>
      <c r="O215" s="21"/>
      <c r="P215" s="22" t="n">
        <f aca="false">IF(OR($A215="",N(K215)=0),0,CEILING(K215*(1+IF($O215="",Taux_Compta,$O215))-0.005,Pas_Arrondi))</f>
        <v>0</v>
      </c>
      <c r="Q215" s="22" t="n">
        <f aca="false">IF(OR($A215="",N(L215)=0),0,CEILING(L215*(1+IF($O215="",Taux_Paye,$O215))-0.005,Pas_Arrondi))</f>
        <v>0</v>
      </c>
      <c r="R215" s="22" t="n">
        <f aca="false">IF(OR($A215="",N(M215)=0),0,CEILING(M215*(1+IF($O215="",Taux_Jur,$O215))-0.005,Pas_Arrondi))</f>
        <v>0</v>
      </c>
      <c r="S215" s="22" t="n">
        <f aca="false">IF(OR($A215="",N(N215)=0),0,CEILING(N215*(1+IF($O215="",Taux_PA,$O215))-0.005,Pas_Arrondi))</f>
        <v>0</v>
      </c>
      <c r="T215" s="22" t="str">
        <f aca="false">IF($A215="","",SUM(K215:N215))</f>
        <v/>
      </c>
      <c r="U215" s="22" t="str">
        <f aca="false">IF($A215="","",SUM(P215:S215))</f>
        <v/>
      </c>
      <c r="V215" s="22" t="str">
        <f aca="false">IF($A215="","",U215-T215)</f>
        <v/>
      </c>
      <c r="W215" s="23" t="str">
        <f aca="false">IF(OR($A215="",N(T215)=0),"",V215/T215)</f>
        <v/>
      </c>
      <c r="X215" s="18"/>
      <c r="Y215" s="18"/>
    </row>
    <row r="216" customFormat="false" ht="15" hidden="false" customHeight="false" outlineLevel="0" collapsed="false">
      <c r="A216" s="18"/>
      <c r="B216" s="18"/>
      <c r="C216" s="18"/>
      <c r="D216" s="18"/>
      <c r="E216" s="18"/>
      <c r="F216" s="18"/>
      <c r="G216" s="18"/>
      <c r="H216" s="19"/>
      <c r="I216" s="18"/>
      <c r="J216" s="18"/>
      <c r="K216" s="20"/>
      <c r="L216" s="20"/>
      <c r="M216" s="20"/>
      <c r="N216" s="20"/>
      <c r="O216" s="21"/>
      <c r="P216" s="22" t="n">
        <f aca="false">IF(OR($A216="",N(K216)=0),0,CEILING(K216*(1+IF($O216="",Taux_Compta,$O216))-0.005,Pas_Arrondi))</f>
        <v>0</v>
      </c>
      <c r="Q216" s="22" t="n">
        <f aca="false">IF(OR($A216="",N(L216)=0),0,CEILING(L216*(1+IF($O216="",Taux_Paye,$O216))-0.005,Pas_Arrondi))</f>
        <v>0</v>
      </c>
      <c r="R216" s="22" t="n">
        <f aca="false">IF(OR($A216="",N(M216)=0),0,CEILING(M216*(1+IF($O216="",Taux_Jur,$O216))-0.005,Pas_Arrondi))</f>
        <v>0</v>
      </c>
      <c r="S216" s="22" t="n">
        <f aca="false">IF(OR($A216="",N(N216)=0),0,CEILING(N216*(1+IF($O216="",Taux_PA,$O216))-0.005,Pas_Arrondi))</f>
        <v>0</v>
      </c>
      <c r="T216" s="22" t="str">
        <f aca="false">IF($A216="","",SUM(K216:N216))</f>
        <v/>
      </c>
      <c r="U216" s="22" t="str">
        <f aca="false">IF($A216="","",SUM(P216:S216))</f>
        <v/>
      </c>
      <c r="V216" s="22" t="str">
        <f aca="false">IF($A216="","",U216-T216)</f>
        <v/>
      </c>
      <c r="W216" s="23" t="str">
        <f aca="false">IF(OR($A216="",N(T216)=0),"",V216/T216)</f>
        <v/>
      </c>
      <c r="X216" s="18"/>
      <c r="Y216" s="18"/>
    </row>
    <row r="217" customFormat="false" ht="15" hidden="false" customHeight="false" outlineLevel="0" collapsed="false">
      <c r="A217" s="18"/>
      <c r="B217" s="18"/>
      <c r="C217" s="18"/>
      <c r="D217" s="18"/>
      <c r="E217" s="18"/>
      <c r="F217" s="18"/>
      <c r="G217" s="18"/>
      <c r="H217" s="19"/>
      <c r="I217" s="18"/>
      <c r="J217" s="18"/>
      <c r="K217" s="20"/>
      <c r="L217" s="20"/>
      <c r="M217" s="20"/>
      <c r="N217" s="20"/>
      <c r="O217" s="21"/>
      <c r="P217" s="22" t="n">
        <f aca="false">IF(OR($A217="",N(K217)=0),0,CEILING(K217*(1+IF($O217="",Taux_Compta,$O217))-0.005,Pas_Arrondi))</f>
        <v>0</v>
      </c>
      <c r="Q217" s="22" t="n">
        <f aca="false">IF(OR($A217="",N(L217)=0),0,CEILING(L217*(1+IF($O217="",Taux_Paye,$O217))-0.005,Pas_Arrondi))</f>
        <v>0</v>
      </c>
      <c r="R217" s="22" t="n">
        <f aca="false">IF(OR($A217="",N(M217)=0),0,CEILING(M217*(1+IF($O217="",Taux_Jur,$O217))-0.005,Pas_Arrondi))</f>
        <v>0</v>
      </c>
      <c r="S217" s="22" t="n">
        <f aca="false">IF(OR($A217="",N(N217)=0),0,CEILING(N217*(1+IF($O217="",Taux_PA,$O217))-0.005,Pas_Arrondi))</f>
        <v>0</v>
      </c>
      <c r="T217" s="22" t="str">
        <f aca="false">IF($A217="","",SUM(K217:N217))</f>
        <v/>
      </c>
      <c r="U217" s="22" t="str">
        <f aca="false">IF($A217="","",SUM(P217:S217))</f>
        <v/>
      </c>
      <c r="V217" s="22" t="str">
        <f aca="false">IF($A217="","",U217-T217)</f>
        <v/>
      </c>
      <c r="W217" s="23" t="str">
        <f aca="false">IF(OR($A217="",N(T217)=0),"",V217/T217)</f>
        <v/>
      </c>
      <c r="X217" s="18"/>
      <c r="Y217" s="18"/>
    </row>
    <row r="218" customFormat="false" ht="15" hidden="false" customHeight="false" outlineLevel="0" collapsed="false">
      <c r="A218" s="18"/>
      <c r="B218" s="18"/>
      <c r="C218" s="18"/>
      <c r="D218" s="18"/>
      <c r="E218" s="18"/>
      <c r="F218" s="18"/>
      <c r="G218" s="18"/>
      <c r="H218" s="19"/>
      <c r="I218" s="18"/>
      <c r="J218" s="18"/>
      <c r="K218" s="20"/>
      <c r="L218" s="20"/>
      <c r="M218" s="20"/>
      <c r="N218" s="20"/>
      <c r="O218" s="21"/>
      <c r="P218" s="22" t="n">
        <f aca="false">IF(OR($A218="",N(K218)=0),0,CEILING(K218*(1+IF($O218="",Taux_Compta,$O218))-0.005,Pas_Arrondi))</f>
        <v>0</v>
      </c>
      <c r="Q218" s="22" t="n">
        <f aca="false">IF(OR($A218="",N(L218)=0),0,CEILING(L218*(1+IF($O218="",Taux_Paye,$O218))-0.005,Pas_Arrondi))</f>
        <v>0</v>
      </c>
      <c r="R218" s="22" t="n">
        <f aca="false">IF(OR($A218="",N(M218)=0),0,CEILING(M218*(1+IF($O218="",Taux_Jur,$O218))-0.005,Pas_Arrondi))</f>
        <v>0</v>
      </c>
      <c r="S218" s="22" t="n">
        <f aca="false">IF(OR($A218="",N(N218)=0),0,CEILING(N218*(1+IF($O218="",Taux_PA,$O218))-0.005,Pas_Arrondi))</f>
        <v>0</v>
      </c>
      <c r="T218" s="22" t="str">
        <f aca="false">IF($A218="","",SUM(K218:N218))</f>
        <v/>
      </c>
      <c r="U218" s="22" t="str">
        <f aca="false">IF($A218="","",SUM(P218:S218))</f>
        <v/>
      </c>
      <c r="V218" s="22" t="str">
        <f aca="false">IF($A218="","",U218-T218)</f>
        <v/>
      </c>
      <c r="W218" s="23" t="str">
        <f aca="false">IF(OR($A218="",N(T218)=0),"",V218/T218)</f>
        <v/>
      </c>
      <c r="X218" s="18"/>
      <c r="Y218" s="18"/>
    </row>
    <row r="219" customFormat="false" ht="15" hidden="false" customHeight="false" outlineLevel="0" collapsed="false">
      <c r="A219" s="18"/>
      <c r="B219" s="18"/>
      <c r="C219" s="18"/>
      <c r="D219" s="18"/>
      <c r="E219" s="18"/>
      <c r="F219" s="18"/>
      <c r="G219" s="18"/>
      <c r="H219" s="19"/>
      <c r="I219" s="18"/>
      <c r="J219" s="18"/>
      <c r="K219" s="20"/>
      <c r="L219" s="20"/>
      <c r="M219" s="20"/>
      <c r="N219" s="20"/>
      <c r="O219" s="21"/>
      <c r="P219" s="22" t="n">
        <f aca="false">IF(OR($A219="",N(K219)=0),0,CEILING(K219*(1+IF($O219="",Taux_Compta,$O219))-0.005,Pas_Arrondi))</f>
        <v>0</v>
      </c>
      <c r="Q219" s="22" t="n">
        <f aca="false">IF(OR($A219="",N(L219)=0),0,CEILING(L219*(1+IF($O219="",Taux_Paye,$O219))-0.005,Pas_Arrondi))</f>
        <v>0</v>
      </c>
      <c r="R219" s="22" t="n">
        <f aca="false">IF(OR($A219="",N(M219)=0),0,CEILING(M219*(1+IF($O219="",Taux_Jur,$O219))-0.005,Pas_Arrondi))</f>
        <v>0</v>
      </c>
      <c r="S219" s="22" t="n">
        <f aca="false">IF(OR($A219="",N(N219)=0),0,CEILING(N219*(1+IF($O219="",Taux_PA,$O219))-0.005,Pas_Arrondi))</f>
        <v>0</v>
      </c>
      <c r="T219" s="22" t="str">
        <f aca="false">IF($A219="","",SUM(K219:N219))</f>
        <v/>
      </c>
      <c r="U219" s="22" t="str">
        <f aca="false">IF($A219="","",SUM(P219:S219))</f>
        <v/>
      </c>
      <c r="V219" s="22" t="str">
        <f aca="false">IF($A219="","",U219-T219)</f>
        <v/>
      </c>
      <c r="W219" s="23" t="str">
        <f aca="false">IF(OR($A219="",N(T219)=0),"",V219/T219)</f>
        <v/>
      </c>
      <c r="X219" s="18"/>
      <c r="Y219" s="18"/>
    </row>
    <row r="220" customFormat="false" ht="15" hidden="false" customHeight="false" outlineLevel="0" collapsed="false">
      <c r="A220" s="18"/>
      <c r="B220" s="18"/>
      <c r="C220" s="18"/>
      <c r="D220" s="18"/>
      <c r="E220" s="18"/>
      <c r="F220" s="18"/>
      <c r="G220" s="18"/>
      <c r="H220" s="19"/>
      <c r="I220" s="18"/>
      <c r="J220" s="18"/>
      <c r="K220" s="20"/>
      <c r="L220" s="20"/>
      <c r="M220" s="20"/>
      <c r="N220" s="20"/>
      <c r="O220" s="21"/>
      <c r="P220" s="22" t="n">
        <f aca="false">IF(OR($A220="",N(K220)=0),0,CEILING(K220*(1+IF($O220="",Taux_Compta,$O220))-0.005,Pas_Arrondi))</f>
        <v>0</v>
      </c>
      <c r="Q220" s="22" t="n">
        <f aca="false">IF(OR($A220="",N(L220)=0),0,CEILING(L220*(1+IF($O220="",Taux_Paye,$O220))-0.005,Pas_Arrondi))</f>
        <v>0</v>
      </c>
      <c r="R220" s="22" t="n">
        <f aca="false">IF(OR($A220="",N(M220)=0),0,CEILING(M220*(1+IF($O220="",Taux_Jur,$O220))-0.005,Pas_Arrondi))</f>
        <v>0</v>
      </c>
      <c r="S220" s="22" t="n">
        <f aca="false">IF(OR($A220="",N(N220)=0),0,CEILING(N220*(1+IF($O220="",Taux_PA,$O220))-0.005,Pas_Arrondi))</f>
        <v>0</v>
      </c>
      <c r="T220" s="22" t="str">
        <f aca="false">IF($A220="","",SUM(K220:N220))</f>
        <v/>
      </c>
      <c r="U220" s="22" t="str">
        <f aca="false">IF($A220="","",SUM(P220:S220))</f>
        <v/>
      </c>
      <c r="V220" s="22" t="str">
        <f aca="false">IF($A220="","",U220-T220)</f>
        <v/>
      </c>
      <c r="W220" s="23" t="str">
        <f aca="false">IF(OR($A220="",N(T220)=0),"",V220/T220)</f>
        <v/>
      </c>
      <c r="X220" s="18"/>
      <c r="Y220" s="18"/>
    </row>
    <row r="221" customFormat="false" ht="15" hidden="false" customHeight="false" outlineLevel="0" collapsed="false">
      <c r="A221" s="18"/>
      <c r="B221" s="18"/>
      <c r="C221" s="18"/>
      <c r="D221" s="18"/>
      <c r="E221" s="18"/>
      <c r="F221" s="18"/>
      <c r="G221" s="18"/>
      <c r="H221" s="19"/>
      <c r="I221" s="18"/>
      <c r="J221" s="18"/>
      <c r="K221" s="20"/>
      <c r="L221" s="20"/>
      <c r="M221" s="20"/>
      <c r="N221" s="20"/>
      <c r="O221" s="21"/>
      <c r="P221" s="22" t="n">
        <f aca="false">IF(OR($A221="",N(K221)=0),0,CEILING(K221*(1+IF($O221="",Taux_Compta,$O221))-0.005,Pas_Arrondi))</f>
        <v>0</v>
      </c>
      <c r="Q221" s="22" t="n">
        <f aca="false">IF(OR($A221="",N(L221)=0),0,CEILING(L221*(1+IF($O221="",Taux_Paye,$O221))-0.005,Pas_Arrondi))</f>
        <v>0</v>
      </c>
      <c r="R221" s="22" t="n">
        <f aca="false">IF(OR($A221="",N(M221)=0),0,CEILING(M221*(1+IF($O221="",Taux_Jur,$O221))-0.005,Pas_Arrondi))</f>
        <v>0</v>
      </c>
      <c r="S221" s="22" t="n">
        <f aca="false">IF(OR($A221="",N(N221)=0),0,CEILING(N221*(1+IF($O221="",Taux_PA,$O221))-0.005,Pas_Arrondi))</f>
        <v>0</v>
      </c>
      <c r="T221" s="22" t="str">
        <f aca="false">IF($A221="","",SUM(K221:N221))</f>
        <v/>
      </c>
      <c r="U221" s="22" t="str">
        <f aca="false">IF($A221="","",SUM(P221:S221))</f>
        <v/>
      </c>
      <c r="V221" s="22" t="str">
        <f aca="false">IF($A221="","",U221-T221)</f>
        <v/>
      </c>
      <c r="W221" s="23" t="str">
        <f aca="false">IF(OR($A221="",N(T221)=0),"",V221/T221)</f>
        <v/>
      </c>
      <c r="X221" s="18"/>
      <c r="Y221" s="18"/>
    </row>
    <row r="222" customFormat="false" ht="15" hidden="false" customHeight="false" outlineLevel="0" collapsed="false">
      <c r="A222" s="18"/>
      <c r="B222" s="18"/>
      <c r="C222" s="18"/>
      <c r="D222" s="18"/>
      <c r="E222" s="18"/>
      <c r="F222" s="18"/>
      <c r="G222" s="18"/>
      <c r="H222" s="19"/>
      <c r="I222" s="18"/>
      <c r="J222" s="18"/>
      <c r="K222" s="20"/>
      <c r="L222" s="20"/>
      <c r="M222" s="20"/>
      <c r="N222" s="20"/>
      <c r="O222" s="21"/>
      <c r="P222" s="22" t="n">
        <f aca="false">IF(OR($A222="",N(K222)=0),0,CEILING(K222*(1+IF($O222="",Taux_Compta,$O222))-0.005,Pas_Arrondi))</f>
        <v>0</v>
      </c>
      <c r="Q222" s="22" t="n">
        <f aca="false">IF(OR($A222="",N(L222)=0),0,CEILING(L222*(1+IF($O222="",Taux_Paye,$O222))-0.005,Pas_Arrondi))</f>
        <v>0</v>
      </c>
      <c r="R222" s="22" t="n">
        <f aca="false">IF(OR($A222="",N(M222)=0),0,CEILING(M222*(1+IF($O222="",Taux_Jur,$O222))-0.005,Pas_Arrondi))</f>
        <v>0</v>
      </c>
      <c r="S222" s="22" t="n">
        <f aca="false">IF(OR($A222="",N(N222)=0),0,CEILING(N222*(1+IF($O222="",Taux_PA,$O222))-0.005,Pas_Arrondi))</f>
        <v>0</v>
      </c>
      <c r="T222" s="22" t="str">
        <f aca="false">IF($A222="","",SUM(K222:N222))</f>
        <v/>
      </c>
      <c r="U222" s="22" t="str">
        <f aca="false">IF($A222="","",SUM(P222:S222))</f>
        <v/>
      </c>
      <c r="V222" s="22" t="str">
        <f aca="false">IF($A222="","",U222-T222)</f>
        <v/>
      </c>
      <c r="W222" s="23" t="str">
        <f aca="false">IF(OR($A222="",N(T222)=0),"",V222/T222)</f>
        <v/>
      </c>
      <c r="X222" s="18"/>
      <c r="Y222" s="18"/>
    </row>
    <row r="223" customFormat="false" ht="15" hidden="false" customHeight="false" outlineLevel="0" collapsed="false">
      <c r="A223" s="18"/>
      <c r="B223" s="18"/>
      <c r="C223" s="18"/>
      <c r="D223" s="18"/>
      <c r="E223" s="18"/>
      <c r="F223" s="18"/>
      <c r="G223" s="18"/>
      <c r="H223" s="19"/>
      <c r="I223" s="18"/>
      <c r="J223" s="18"/>
      <c r="K223" s="20"/>
      <c r="L223" s="20"/>
      <c r="M223" s="20"/>
      <c r="N223" s="20"/>
      <c r="O223" s="21"/>
      <c r="P223" s="22" t="n">
        <f aca="false">IF(OR($A223="",N(K223)=0),0,CEILING(K223*(1+IF($O223="",Taux_Compta,$O223))-0.005,Pas_Arrondi))</f>
        <v>0</v>
      </c>
      <c r="Q223" s="22" t="n">
        <f aca="false">IF(OR($A223="",N(L223)=0),0,CEILING(L223*(1+IF($O223="",Taux_Paye,$O223))-0.005,Pas_Arrondi))</f>
        <v>0</v>
      </c>
      <c r="R223" s="22" t="n">
        <f aca="false">IF(OR($A223="",N(M223)=0),0,CEILING(M223*(1+IF($O223="",Taux_Jur,$O223))-0.005,Pas_Arrondi))</f>
        <v>0</v>
      </c>
      <c r="S223" s="22" t="n">
        <f aca="false">IF(OR($A223="",N(N223)=0),0,CEILING(N223*(1+IF($O223="",Taux_PA,$O223))-0.005,Pas_Arrondi))</f>
        <v>0</v>
      </c>
      <c r="T223" s="22" t="str">
        <f aca="false">IF($A223="","",SUM(K223:N223))</f>
        <v/>
      </c>
      <c r="U223" s="22" t="str">
        <f aca="false">IF($A223="","",SUM(P223:S223))</f>
        <v/>
      </c>
      <c r="V223" s="22" t="str">
        <f aca="false">IF($A223="","",U223-T223)</f>
        <v/>
      </c>
      <c r="W223" s="23" t="str">
        <f aca="false">IF(OR($A223="",N(T223)=0),"",V223/T223)</f>
        <v/>
      </c>
      <c r="X223" s="18"/>
      <c r="Y223" s="18"/>
    </row>
    <row r="224" customFormat="false" ht="15" hidden="false" customHeight="false" outlineLevel="0" collapsed="false">
      <c r="A224" s="18"/>
      <c r="B224" s="18"/>
      <c r="C224" s="18"/>
      <c r="D224" s="18"/>
      <c r="E224" s="18"/>
      <c r="F224" s="18"/>
      <c r="G224" s="18"/>
      <c r="H224" s="19"/>
      <c r="I224" s="18"/>
      <c r="J224" s="18"/>
      <c r="K224" s="20"/>
      <c r="L224" s="20"/>
      <c r="M224" s="20"/>
      <c r="N224" s="20"/>
      <c r="O224" s="21"/>
      <c r="P224" s="22" t="n">
        <f aca="false">IF(OR($A224="",N(K224)=0),0,CEILING(K224*(1+IF($O224="",Taux_Compta,$O224))-0.005,Pas_Arrondi))</f>
        <v>0</v>
      </c>
      <c r="Q224" s="22" t="n">
        <f aca="false">IF(OR($A224="",N(L224)=0),0,CEILING(L224*(1+IF($O224="",Taux_Paye,$O224))-0.005,Pas_Arrondi))</f>
        <v>0</v>
      </c>
      <c r="R224" s="22" t="n">
        <f aca="false">IF(OR($A224="",N(M224)=0),0,CEILING(M224*(1+IF($O224="",Taux_Jur,$O224))-0.005,Pas_Arrondi))</f>
        <v>0</v>
      </c>
      <c r="S224" s="22" t="n">
        <f aca="false">IF(OR($A224="",N(N224)=0),0,CEILING(N224*(1+IF($O224="",Taux_PA,$O224))-0.005,Pas_Arrondi))</f>
        <v>0</v>
      </c>
      <c r="T224" s="22" t="str">
        <f aca="false">IF($A224="","",SUM(K224:N224))</f>
        <v/>
      </c>
      <c r="U224" s="22" t="str">
        <f aca="false">IF($A224="","",SUM(P224:S224))</f>
        <v/>
      </c>
      <c r="V224" s="22" t="str">
        <f aca="false">IF($A224="","",U224-T224)</f>
        <v/>
      </c>
      <c r="W224" s="23" t="str">
        <f aca="false">IF(OR($A224="",N(T224)=0),"",V224/T224)</f>
        <v/>
      </c>
      <c r="X224" s="18"/>
      <c r="Y224" s="18"/>
    </row>
    <row r="225" customFormat="false" ht="15" hidden="false" customHeight="false" outlineLevel="0" collapsed="false">
      <c r="A225" s="18"/>
      <c r="B225" s="18"/>
      <c r="C225" s="18"/>
      <c r="D225" s="18"/>
      <c r="E225" s="18"/>
      <c r="F225" s="18"/>
      <c r="G225" s="18"/>
      <c r="H225" s="19"/>
      <c r="I225" s="18"/>
      <c r="J225" s="18"/>
      <c r="K225" s="20"/>
      <c r="L225" s="20"/>
      <c r="M225" s="20"/>
      <c r="N225" s="20"/>
      <c r="O225" s="21"/>
      <c r="P225" s="22" t="n">
        <f aca="false">IF(OR($A225="",N(K225)=0),0,CEILING(K225*(1+IF($O225="",Taux_Compta,$O225))-0.005,Pas_Arrondi))</f>
        <v>0</v>
      </c>
      <c r="Q225" s="22" t="n">
        <f aca="false">IF(OR($A225="",N(L225)=0),0,CEILING(L225*(1+IF($O225="",Taux_Paye,$O225))-0.005,Pas_Arrondi))</f>
        <v>0</v>
      </c>
      <c r="R225" s="22" t="n">
        <f aca="false">IF(OR($A225="",N(M225)=0),0,CEILING(M225*(1+IF($O225="",Taux_Jur,$O225))-0.005,Pas_Arrondi))</f>
        <v>0</v>
      </c>
      <c r="S225" s="22" t="n">
        <f aca="false">IF(OR($A225="",N(N225)=0),0,CEILING(N225*(1+IF($O225="",Taux_PA,$O225))-0.005,Pas_Arrondi))</f>
        <v>0</v>
      </c>
      <c r="T225" s="22" t="str">
        <f aca="false">IF($A225="","",SUM(K225:N225))</f>
        <v/>
      </c>
      <c r="U225" s="22" t="str">
        <f aca="false">IF($A225="","",SUM(P225:S225))</f>
        <v/>
      </c>
      <c r="V225" s="22" t="str">
        <f aca="false">IF($A225="","",U225-T225)</f>
        <v/>
      </c>
      <c r="W225" s="23" t="str">
        <f aca="false">IF(OR($A225="",N(T225)=0),"",V225/T225)</f>
        <v/>
      </c>
      <c r="X225" s="18"/>
      <c r="Y225" s="18"/>
    </row>
    <row r="226" customFormat="false" ht="15" hidden="false" customHeight="false" outlineLevel="0" collapsed="false">
      <c r="A226" s="18"/>
      <c r="B226" s="18"/>
      <c r="C226" s="18"/>
      <c r="D226" s="18"/>
      <c r="E226" s="18"/>
      <c r="F226" s="18"/>
      <c r="G226" s="18"/>
      <c r="H226" s="19"/>
      <c r="I226" s="18"/>
      <c r="J226" s="18"/>
      <c r="K226" s="20"/>
      <c r="L226" s="20"/>
      <c r="M226" s="20"/>
      <c r="N226" s="20"/>
      <c r="O226" s="21"/>
      <c r="P226" s="22" t="n">
        <f aca="false">IF(OR($A226="",N(K226)=0),0,CEILING(K226*(1+IF($O226="",Taux_Compta,$O226))-0.005,Pas_Arrondi))</f>
        <v>0</v>
      </c>
      <c r="Q226" s="22" t="n">
        <f aca="false">IF(OR($A226="",N(L226)=0),0,CEILING(L226*(1+IF($O226="",Taux_Paye,$O226))-0.005,Pas_Arrondi))</f>
        <v>0</v>
      </c>
      <c r="R226" s="22" t="n">
        <f aca="false">IF(OR($A226="",N(M226)=0),0,CEILING(M226*(1+IF($O226="",Taux_Jur,$O226))-0.005,Pas_Arrondi))</f>
        <v>0</v>
      </c>
      <c r="S226" s="22" t="n">
        <f aca="false">IF(OR($A226="",N(N226)=0),0,CEILING(N226*(1+IF($O226="",Taux_PA,$O226))-0.005,Pas_Arrondi))</f>
        <v>0</v>
      </c>
      <c r="T226" s="22" t="str">
        <f aca="false">IF($A226="","",SUM(K226:N226))</f>
        <v/>
      </c>
      <c r="U226" s="22" t="str">
        <f aca="false">IF($A226="","",SUM(P226:S226))</f>
        <v/>
      </c>
      <c r="V226" s="22" t="str">
        <f aca="false">IF($A226="","",U226-T226)</f>
        <v/>
      </c>
      <c r="W226" s="23" t="str">
        <f aca="false">IF(OR($A226="",N(T226)=0),"",V226/T226)</f>
        <v/>
      </c>
      <c r="X226" s="18"/>
      <c r="Y226" s="18"/>
    </row>
    <row r="227" customFormat="false" ht="15" hidden="false" customHeight="false" outlineLevel="0" collapsed="false">
      <c r="A227" s="18"/>
      <c r="B227" s="18"/>
      <c r="C227" s="18"/>
      <c r="D227" s="18"/>
      <c r="E227" s="18"/>
      <c r="F227" s="18"/>
      <c r="G227" s="18"/>
      <c r="H227" s="19"/>
      <c r="I227" s="18"/>
      <c r="J227" s="18"/>
      <c r="K227" s="20"/>
      <c r="L227" s="20"/>
      <c r="M227" s="20"/>
      <c r="N227" s="20"/>
      <c r="O227" s="21"/>
      <c r="P227" s="22" t="n">
        <f aca="false">IF(OR($A227="",N(K227)=0),0,CEILING(K227*(1+IF($O227="",Taux_Compta,$O227))-0.005,Pas_Arrondi))</f>
        <v>0</v>
      </c>
      <c r="Q227" s="22" t="n">
        <f aca="false">IF(OR($A227="",N(L227)=0),0,CEILING(L227*(1+IF($O227="",Taux_Paye,$O227))-0.005,Pas_Arrondi))</f>
        <v>0</v>
      </c>
      <c r="R227" s="22" t="n">
        <f aca="false">IF(OR($A227="",N(M227)=0),0,CEILING(M227*(1+IF($O227="",Taux_Jur,$O227))-0.005,Pas_Arrondi))</f>
        <v>0</v>
      </c>
      <c r="S227" s="22" t="n">
        <f aca="false">IF(OR($A227="",N(N227)=0),0,CEILING(N227*(1+IF($O227="",Taux_PA,$O227))-0.005,Pas_Arrondi))</f>
        <v>0</v>
      </c>
      <c r="T227" s="22" t="str">
        <f aca="false">IF($A227="","",SUM(K227:N227))</f>
        <v/>
      </c>
      <c r="U227" s="22" t="str">
        <f aca="false">IF($A227="","",SUM(P227:S227))</f>
        <v/>
      </c>
      <c r="V227" s="22" t="str">
        <f aca="false">IF($A227="","",U227-T227)</f>
        <v/>
      </c>
      <c r="W227" s="23" t="str">
        <f aca="false">IF(OR($A227="",N(T227)=0),"",V227/T227)</f>
        <v/>
      </c>
      <c r="X227" s="18"/>
      <c r="Y227" s="18"/>
    </row>
    <row r="228" customFormat="false" ht="15" hidden="false" customHeight="false" outlineLevel="0" collapsed="false">
      <c r="A228" s="18"/>
      <c r="B228" s="18"/>
      <c r="C228" s="18"/>
      <c r="D228" s="18"/>
      <c r="E228" s="18"/>
      <c r="F228" s="18"/>
      <c r="G228" s="18"/>
      <c r="H228" s="19"/>
      <c r="I228" s="18"/>
      <c r="J228" s="18"/>
      <c r="K228" s="20"/>
      <c r="L228" s="20"/>
      <c r="M228" s="20"/>
      <c r="N228" s="20"/>
      <c r="O228" s="21"/>
      <c r="P228" s="22" t="n">
        <f aca="false">IF(OR($A228="",N(K228)=0),0,CEILING(K228*(1+IF($O228="",Taux_Compta,$O228))-0.005,Pas_Arrondi))</f>
        <v>0</v>
      </c>
      <c r="Q228" s="22" t="n">
        <f aca="false">IF(OR($A228="",N(L228)=0),0,CEILING(L228*(1+IF($O228="",Taux_Paye,$O228))-0.005,Pas_Arrondi))</f>
        <v>0</v>
      </c>
      <c r="R228" s="22" t="n">
        <f aca="false">IF(OR($A228="",N(M228)=0),0,CEILING(M228*(1+IF($O228="",Taux_Jur,$O228))-0.005,Pas_Arrondi))</f>
        <v>0</v>
      </c>
      <c r="S228" s="22" t="n">
        <f aca="false">IF(OR($A228="",N(N228)=0),0,CEILING(N228*(1+IF($O228="",Taux_PA,$O228))-0.005,Pas_Arrondi))</f>
        <v>0</v>
      </c>
      <c r="T228" s="22" t="str">
        <f aca="false">IF($A228="","",SUM(K228:N228))</f>
        <v/>
      </c>
      <c r="U228" s="22" t="str">
        <f aca="false">IF($A228="","",SUM(P228:S228))</f>
        <v/>
      </c>
      <c r="V228" s="22" t="str">
        <f aca="false">IF($A228="","",U228-T228)</f>
        <v/>
      </c>
      <c r="W228" s="23" t="str">
        <f aca="false">IF(OR($A228="",N(T228)=0),"",V228/T228)</f>
        <v/>
      </c>
      <c r="X228" s="18"/>
      <c r="Y228" s="18"/>
    </row>
    <row r="229" customFormat="false" ht="15" hidden="false" customHeight="false" outlineLevel="0" collapsed="false">
      <c r="A229" s="18"/>
      <c r="B229" s="18"/>
      <c r="C229" s="18"/>
      <c r="D229" s="18"/>
      <c r="E229" s="18"/>
      <c r="F229" s="18"/>
      <c r="G229" s="18"/>
      <c r="H229" s="19"/>
      <c r="I229" s="18"/>
      <c r="J229" s="18"/>
      <c r="K229" s="20"/>
      <c r="L229" s="20"/>
      <c r="M229" s="20"/>
      <c r="N229" s="20"/>
      <c r="O229" s="21"/>
      <c r="P229" s="22" t="n">
        <f aca="false">IF(OR($A229="",N(K229)=0),0,CEILING(K229*(1+IF($O229="",Taux_Compta,$O229))-0.005,Pas_Arrondi))</f>
        <v>0</v>
      </c>
      <c r="Q229" s="22" t="n">
        <f aca="false">IF(OR($A229="",N(L229)=0),0,CEILING(L229*(1+IF($O229="",Taux_Paye,$O229))-0.005,Pas_Arrondi))</f>
        <v>0</v>
      </c>
      <c r="R229" s="22" t="n">
        <f aca="false">IF(OR($A229="",N(M229)=0),0,CEILING(M229*(1+IF($O229="",Taux_Jur,$O229))-0.005,Pas_Arrondi))</f>
        <v>0</v>
      </c>
      <c r="S229" s="22" t="n">
        <f aca="false">IF(OR($A229="",N(N229)=0),0,CEILING(N229*(1+IF($O229="",Taux_PA,$O229))-0.005,Pas_Arrondi))</f>
        <v>0</v>
      </c>
      <c r="T229" s="22" t="str">
        <f aca="false">IF($A229="","",SUM(K229:N229))</f>
        <v/>
      </c>
      <c r="U229" s="22" t="str">
        <f aca="false">IF($A229="","",SUM(P229:S229))</f>
        <v/>
      </c>
      <c r="V229" s="22" t="str">
        <f aca="false">IF($A229="","",U229-T229)</f>
        <v/>
      </c>
      <c r="W229" s="23" t="str">
        <f aca="false">IF(OR($A229="",N(T229)=0),"",V229/T229)</f>
        <v/>
      </c>
      <c r="X229" s="18"/>
      <c r="Y229" s="18"/>
    </row>
    <row r="230" customFormat="false" ht="15" hidden="false" customHeight="false" outlineLevel="0" collapsed="false">
      <c r="A230" s="18"/>
      <c r="B230" s="18"/>
      <c r="C230" s="18"/>
      <c r="D230" s="18"/>
      <c r="E230" s="18"/>
      <c r="F230" s="18"/>
      <c r="G230" s="18"/>
      <c r="H230" s="19"/>
      <c r="I230" s="18"/>
      <c r="J230" s="18"/>
      <c r="K230" s="20"/>
      <c r="L230" s="20"/>
      <c r="M230" s="20"/>
      <c r="N230" s="20"/>
      <c r="O230" s="21"/>
      <c r="P230" s="22" t="n">
        <f aca="false">IF(OR($A230="",N(K230)=0),0,CEILING(K230*(1+IF($O230="",Taux_Compta,$O230))-0.005,Pas_Arrondi))</f>
        <v>0</v>
      </c>
      <c r="Q230" s="22" t="n">
        <f aca="false">IF(OR($A230="",N(L230)=0),0,CEILING(L230*(1+IF($O230="",Taux_Paye,$O230))-0.005,Pas_Arrondi))</f>
        <v>0</v>
      </c>
      <c r="R230" s="22" t="n">
        <f aca="false">IF(OR($A230="",N(M230)=0),0,CEILING(M230*(1+IF($O230="",Taux_Jur,$O230))-0.005,Pas_Arrondi))</f>
        <v>0</v>
      </c>
      <c r="S230" s="22" t="n">
        <f aca="false">IF(OR($A230="",N(N230)=0),0,CEILING(N230*(1+IF($O230="",Taux_PA,$O230))-0.005,Pas_Arrondi))</f>
        <v>0</v>
      </c>
      <c r="T230" s="22" t="str">
        <f aca="false">IF($A230="","",SUM(K230:N230))</f>
        <v/>
      </c>
      <c r="U230" s="22" t="str">
        <f aca="false">IF($A230="","",SUM(P230:S230))</f>
        <v/>
      </c>
      <c r="V230" s="22" t="str">
        <f aca="false">IF($A230="","",U230-T230)</f>
        <v/>
      </c>
      <c r="W230" s="23" t="str">
        <f aca="false">IF(OR($A230="",N(T230)=0),"",V230/T230)</f>
        <v/>
      </c>
      <c r="X230" s="18"/>
      <c r="Y230" s="18"/>
    </row>
    <row r="231" customFormat="false" ht="15" hidden="false" customHeight="false" outlineLevel="0" collapsed="false">
      <c r="A231" s="18"/>
      <c r="B231" s="18"/>
      <c r="C231" s="18"/>
      <c r="D231" s="18"/>
      <c r="E231" s="18"/>
      <c r="F231" s="18"/>
      <c r="G231" s="18"/>
      <c r="H231" s="19"/>
      <c r="I231" s="18"/>
      <c r="J231" s="18"/>
      <c r="K231" s="20"/>
      <c r="L231" s="20"/>
      <c r="M231" s="20"/>
      <c r="N231" s="20"/>
      <c r="O231" s="21"/>
      <c r="P231" s="22" t="n">
        <f aca="false">IF(OR($A231="",N(K231)=0),0,CEILING(K231*(1+IF($O231="",Taux_Compta,$O231))-0.005,Pas_Arrondi))</f>
        <v>0</v>
      </c>
      <c r="Q231" s="22" t="n">
        <f aca="false">IF(OR($A231="",N(L231)=0),0,CEILING(L231*(1+IF($O231="",Taux_Paye,$O231))-0.005,Pas_Arrondi))</f>
        <v>0</v>
      </c>
      <c r="R231" s="22" t="n">
        <f aca="false">IF(OR($A231="",N(M231)=0),0,CEILING(M231*(1+IF($O231="",Taux_Jur,$O231))-0.005,Pas_Arrondi))</f>
        <v>0</v>
      </c>
      <c r="S231" s="22" t="n">
        <f aca="false">IF(OR($A231="",N(N231)=0),0,CEILING(N231*(1+IF($O231="",Taux_PA,$O231))-0.005,Pas_Arrondi))</f>
        <v>0</v>
      </c>
      <c r="T231" s="22" t="str">
        <f aca="false">IF($A231="","",SUM(K231:N231))</f>
        <v/>
      </c>
      <c r="U231" s="22" t="str">
        <f aca="false">IF($A231="","",SUM(P231:S231))</f>
        <v/>
      </c>
      <c r="V231" s="22" t="str">
        <f aca="false">IF($A231="","",U231-T231)</f>
        <v/>
      </c>
      <c r="W231" s="23" t="str">
        <f aca="false">IF(OR($A231="",N(T231)=0),"",V231/T231)</f>
        <v/>
      </c>
      <c r="X231" s="18"/>
      <c r="Y231" s="18"/>
    </row>
    <row r="232" customFormat="false" ht="15" hidden="false" customHeight="false" outlineLevel="0" collapsed="false">
      <c r="A232" s="18"/>
      <c r="B232" s="18"/>
      <c r="C232" s="18"/>
      <c r="D232" s="18"/>
      <c r="E232" s="18"/>
      <c r="F232" s="18"/>
      <c r="G232" s="18"/>
      <c r="H232" s="19"/>
      <c r="I232" s="18"/>
      <c r="J232" s="18"/>
      <c r="K232" s="20"/>
      <c r="L232" s="20"/>
      <c r="M232" s="20"/>
      <c r="N232" s="20"/>
      <c r="O232" s="21"/>
      <c r="P232" s="22" t="n">
        <f aca="false">IF(OR($A232="",N(K232)=0),0,CEILING(K232*(1+IF($O232="",Taux_Compta,$O232))-0.005,Pas_Arrondi))</f>
        <v>0</v>
      </c>
      <c r="Q232" s="22" t="n">
        <f aca="false">IF(OR($A232="",N(L232)=0),0,CEILING(L232*(1+IF($O232="",Taux_Paye,$O232))-0.005,Pas_Arrondi))</f>
        <v>0</v>
      </c>
      <c r="R232" s="22" t="n">
        <f aca="false">IF(OR($A232="",N(M232)=0),0,CEILING(M232*(1+IF($O232="",Taux_Jur,$O232))-0.005,Pas_Arrondi))</f>
        <v>0</v>
      </c>
      <c r="S232" s="22" t="n">
        <f aca="false">IF(OR($A232="",N(N232)=0),0,CEILING(N232*(1+IF($O232="",Taux_PA,$O232))-0.005,Pas_Arrondi))</f>
        <v>0</v>
      </c>
      <c r="T232" s="22" t="str">
        <f aca="false">IF($A232="","",SUM(K232:N232))</f>
        <v/>
      </c>
      <c r="U232" s="22" t="str">
        <f aca="false">IF($A232="","",SUM(P232:S232))</f>
        <v/>
      </c>
      <c r="V232" s="22" t="str">
        <f aca="false">IF($A232="","",U232-T232)</f>
        <v/>
      </c>
      <c r="W232" s="23" t="str">
        <f aca="false">IF(OR($A232="",N(T232)=0),"",V232/T232)</f>
        <v/>
      </c>
      <c r="X232" s="18"/>
      <c r="Y232" s="18"/>
    </row>
    <row r="233" customFormat="false" ht="15" hidden="false" customHeight="false" outlineLevel="0" collapsed="false">
      <c r="A233" s="18"/>
      <c r="B233" s="18"/>
      <c r="C233" s="18"/>
      <c r="D233" s="18"/>
      <c r="E233" s="18"/>
      <c r="F233" s="18"/>
      <c r="G233" s="18"/>
      <c r="H233" s="19"/>
      <c r="I233" s="18"/>
      <c r="J233" s="18"/>
      <c r="K233" s="20"/>
      <c r="L233" s="20"/>
      <c r="M233" s="20"/>
      <c r="N233" s="20"/>
      <c r="O233" s="21"/>
      <c r="P233" s="22" t="n">
        <f aca="false">IF(OR($A233="",N(K233)=0),0,CEILING(K233*(1+IF($O233="",Taux_Compta,$O233))-0.005,Pas_Arrondi))</f>
        <v>0</v>
      </c>
      <c r="Q233" s="22" t="n">
        <f aca="false">IF(OR($A233="",N(L233)=0),0,CEILING(L233*(1+IF($O233="",Taux_Paye,$O233))-0.005,Pas_Arrondi))</f>
        <v>0</v>
      </c>
      <c r="R233" s="22" t="n">
        <f aca="false">IF(OR($A233="",N(M233)=0),0,CEILING(M233*(1+IF($O233="",Taux_Jur,$O233))-0.005,Pas_Arrondi))</f>
        <v>0</v>
      </c>
      <c r="S233" s="22" t="n">
        <f aca="false">IF(OR($A233="",N(N233)=0),0,CEILING(N233*(1+IF($O233="",Taux_PA,$O233))-0.005,Pas_Arrondi))</f>
        <v>0</v>
      </c>
      <c r="T233" s="22" t="str">
        <f aca="false">IF($A233="","",SUM(K233:N233))</f>
        <v/>
      </c>
      <c r="U233" s="22" t="str">
        <f aca="false">IF($A233="","",SUM(P233:S233))</f>
        <v/>
      </c>
      <c r="V233" s="22" t="str">
        <f aca="false">IF($A233="","",U233-T233)</f>
        <v/>
      </c>
      <c r="W233" s="23" t="str">
        <f aca="false">IF(OR($A233="",N(T233)=0),"",V233/T233)</f>
        <v/>
      </c>
      <c r="X233" s="18"/>
      <c r="Y233" s="18"/>
    </row>
    <row r="234" customFormat="false" ht="15" hidden="false" customHeight="false" outlineLevel="0" collapsed="false">
      <c r="A234" s="18"/>
      <c r="B234" s="18"/>
      <c r="C234" s="18"/>
      <c r="D234" s="18"/>
      <c r="E234" s="18"/>
      <c r="F234" s="18"/>
      <c r="G234" s="18"/>
      <c r="H234" s="19"/>
      <c r="I234" s="18"/>
      <c r="J234" s="18"/>
      <c r="K234" s="20"/>
      <c r="L234" s="20"/>
      <c r="M234" s="20"/>
      <c r="N234" s="20"/>
      <c r="O234" s="21"/>
      <c r="P234" s="22" t="n">
        <f aca="false">IF(OR($A234="",N(K234)=0),0,CEILING(K234*(1+IF($O234="",Taux_Compta,$O234))-0.005,Pas_Arrondi))</f>
        <v>0</v>
      </c>
      <c r="Q234" s="22" t="n">
        <f aca="false">IF(OR($A234="",N(L234)=0),0,CEILING(L234*(1+IF($O234="",Taux_Paye,$O234))-0.005,Pas_Arrondi))</f>
        <v>0</v>
      </c>
      <c r="R234" s="22" t="n">
        <f aca="false">IF(OR($A234="",N(M234)=0),0,CEILING(M234*(1+IF($O234="",Taux_Jur,$O234))-0.005,Pas_Arrondi))</f>
        <v>0</v>
      </c>
      <c r="S234" s="22" t="n">
        <f aca="false">IF(OR($A234="",N(N234)=0),0,CEILING(N234*(1+IF($O234="",Taux_PA,$O234))-0.005,Pas_Arrondi))</f>
        <v>0</v>
      </c>
      <c r="T234" s="22" t="str">
        <f aca="false">IF($A234="","",SUM(K234:N234))</f>
        <v/>
      </c>
      <c r="U234" s="22" t="str">
        <f aca="false">IF($A234="","",SUM(P234:S234))</f>
        <v/>
      </c>
      <c r="V234" s="22" t="str">
        <f aca="false">IF($A234="","",U234-T234)</f>
        <v/>
      </c>
      <c r="W234" s="23" t="str">
        <f aca="false">IF(OR($A234="",N(T234)=0),"",V234/T234)</f>
        <v/>
      </c>
      <c r="X234" s="18"/>
      <c r="Y234" s="18"/>
    </row>
    <row r="235" customFormat="false" ht="15" hidden="false" customHeight="false" outlineLevel="0" collapsed="false">
      <c r="A235" s="18"/>
      <c r="B235" s="18"/>
      <c r="C235" s="18"/>
      <c r="D235" s="18"/>
      <c r="E235" s="18"/>
      <c r="F235" s="18"/>
      <c r="G235" s="18"/>
      <c r="H235" s="19"/>
      <c r="I235" s="18"/>
      <c r="J235" s="18"/>
      <c r="K235" s="20"/>
      <c r="L235" s="20"/>
      <c r="M235" s="20"/>
      <c r="N235" s="20"/>
      <c r="O235" s="21"/>
      <c r="P235" s="22" t="n">
        <f aca="false">IF(OR($A235="",N(K235)=0),0,CEILING(K235*(1+IF($O235="",Taux_Compta,$O235))-0.005,Pas_Arrondi))</f>
        <v>0</v>
      </c>
      <c r="Q235" s="22" t="n">
        <f aca="false">IF(OR($A235="",N(L235)=0),0,CEILING(L235*(1+IF($O235="",Taux_Paye,$O235))-0.005,Pas_Arrondi))</f>
        <v>0</v>
      </c>
      <c r="R235" s="22" t="n">
        <f aca="false">IF(OR($A235="",N(M235)=0),0,CEILING(M235*(1+IF($O235="",Taux_Jur,$O235))-0.005,Pas_Arrondi))</f>
        <v>0</v>
      </c>
      <c r="S235" s="22" t="n">
        <f aca="false">IF(OR($A235="",N(N235)=0),0,CEILING(N235*(1+IF($O235="",Taux_PA,$O235))-0.005,Pas_Arrondi))</f>
        <v>0</v>
      </c>
      <c r="T235" s="22" t="str">
        <f aca="false">IF($A235="","",SUM(K235:N235))</f>
        <v/>
      </c>
      <c r="U235" s="22" t="str">
        <f aca="false">IF($A235="","",SUM(P235:S235))</f>
        <v/>
      </c>
      <c r="V235" s="22" t="str">
        <f aca="false">IF($A235="","",U235-T235)</f>
        <v/>
      </c>
      <c r="W235" s="23" t="str">
        <f aca="false">IF(OR($A235="",N(T235)=0),"",V235/T235)</f>
        <v/>
      </c>
      <c r="X235" s="18"/>
      <c r="Y235" s="18"/>
    </row>
    <row r="236" customFormat="false" ht="15" hidden="false" customHeight="false" outlineLevel="0" collapsed="false">
      <c r="A236" s="18"/>
      <c r="B236" s="18"/>
      <c r="C236" s="18"/>
      <c r="D236" s="18"/>
      <c r="E236" s="18"/>
      <c r="F236" s="18"/>
      <c r="G236" s="18"/>
      <c r="H236" s="19"/>
      <c r="I236" s="18"/>
      <c r="J236" s="18"/>
      <c r="K236" s="20"/>
      <c r="L236" s="20"/>
      <c r="M236" s="20"/>
      <c r="N236" s="20"/>
      <c r="O236" s="21"/>
      <c r="P236" s="22" t="n">
        <f aca="false">IF(OR($A236="",N(K236)=0),0,CEILING(K236*(1+IF($O236="",Taux_Compta,$O236))-0.005,Pas_Arrondi))</f>
        <v>0</v>
      </c>
      <c r="Q236" s="22" t="n">
        <f aca="false">IF(OR($A236="",N(L236)=0),0,CEILING(L236*(1+IF($O236="",Taux_Paye,$O236))-0.005,Pas_Arrondi))</f>
        <v>0</v>
      </c>
      <c r="R236" s="22" t="n">
        <f aca="false">IF(OR($A236="",N(M236)=0),0,CEILING(M236*(1+IF($O236="",Taux_Jur,$O236))-0.005,Pas_Arrondi))</f>
        <v>0</v>
      </c>
      <c r="S236" s="22" t="n">
        <f aca="false">IF(OR($A236="",N(N236)=0),0,CEILING(N236*(1+IF($O236="",Taux_PA,$O236))-0.005,Pas_Arrondi))</f>
        <v>0</v>
      </c>
      <c r="T236" s="22" t="str">
        <f aca="false">IF($A236="","",SUM(K236:N236))</f>
        <v/>
      </c>
      <c r="U236" s="22" t="str">
        <f aca="false">IF($A236="","",SUM(P236:S236))</f>
        <v/>
      </c>
      <c r="V236" s="22" t="str">
        <f aca="false">IF($A236="","",U236-T236)</f>
        <v/>
      </c>
      <c r="W236" s="23" t="str">
        <f aca="false">IF(OR($A236="",N(T236)=0),"",V236/T236)</f>
        <v/>
      </c>
      <c r="X236" s="18"/>
      <c r="Y236" s="18"/>
    </row>
    <row r="237" customFormat="false" ht="15" hidden="false" customHeight="false" outlineLevel="0" collapsed="false">
      <c r="A237" s="18"/>
      <c r="B237" s="18"/>
      <c r="C237" s="18"/>
      <c r="D237" s="18"/>
      <c r="E237" s="18"/>
      <c r="F237" s="18"/>
      <c r="G237" s="18"/>
      <c r="H237" s="19"/>
      <c r="I237" s="18"/>
      <c r="J237" s="18"/>
      <c r="K237" s="20"/>
      <c r="L237" s="20"/>
      <c r="M237" s="20"/>
      <c r="N237" s="20"/>
      <c r="O237" s="21"/>
      <c r="P237" s="22" t="n">
        <f aca="false">IF(OR($A237="",N(K237)=0),0,CEILING(K237*(1+IF($O237="",Taux_Compta,$O237))-0.005,Pas_Arrondi))</f>
        <v>0</v>
      </c>
      <c r="Q237" s="22" t="n">
        <f aca="false">IF(OR($A237="",N(L237)=0),0,CEILING(L237*(1+IF($O237="",Taux_Paye,$O237))-0.005,Pas_Arrondi))</f>
        <v>0</v>
      </c>
      <c r="R237" s="22" t="n">
        <f aca="false">IF(OR($A237="",N(M237)=0),0,CEILING(M237*(1+IF($O237="",Taux_Jur,$O237))-0.005,Pas_Arrondi))</f>
        <v>0</v>
      </c>
      <c r="S237" s="22" t="n">
        <f aca="false">IF(OR($A237="",N(N237)=0),0,CEILING(N237*(1+IF($O237="",Taux_PA,$O237))-0.005,Pas_Arrondi))</f>
        <v>0</v>
      </c>
      <c r="T237" s="22" t="str">
        <f aca="false">IF($A237="","",SUM(K237:N237))</f>
        <v/>
      </c>
      <c r="U237" s="22" t="str">
        <f aca="false">IF($A237="","",SUM(P237:S237))</f>
        <v/>
      </c>
      <c r="V237" s="22" t="str">
        <f aca="false">IF($A237="","",U237-T237)</f>
        <v/>
      </c>
      <c r="W237" s="23" t="str">
        <f aca="false">IF(OR($A237="",N(T237)=0),"",V237/T237)</f>
        <v/>
      </c>
      <c r="X237" s="18"/>
      <c r="Y237" s="18"/>
    </row>
    <row r="238" customFormat="false" ht="15" hidden="false" customHeight="false" outlineLevel="0" collapsed="false">
      <c r="A238" s="18"/>
      <c r="B238" s="18"/>
      <c r="C238" s="18"/>
      <c r="D238" s="18"/>
      <c r="E238" s="18"/>
      <c r="F238" s="18"/>
      <c r="G238" s="18"/>
      <c r="H238" s="19"/>
      <c r="I238" s="18"/>
      <c r="J238" s="18"/>
      <c r="K238" s="20"/>
      <c r="L238" s="20"/>
      <c r="M238" s="20"/>
      <c r="N238" s="20"/>
      <c r="O238" s="21"/>
      <c r="P238" s="22" t="n">
        <f aca="false">IF(OR($A238="",N(K238)=0),0,CEILING(K238*(1+IF($O238="",Taux_Compta,$O238))-0.005,Pas_Arrondi))</f>
        <v>0</v>
      </c>
      <c r="Q238" s="22" t="n">
        <f aca="false">IF(OR($A238="",N(L238)=0),0,CEILING(L238*(1+IF($O238="",Taux_Paye,$O238))-0.005,Pas_Arrondi))</f>
        <v>0</v>
      </c>
      <c r="R238" s="22" t="n">
        <f aca="false">IF(OR($A238="",N(M238)=0),0,CEILING(M238*(1+IF($O238="",Taux_Jur,$O238))-0.005,Pas_Arrondi))</f>
        <v>0</v>
      </c>
      <c r="S238" s="22" t="n">
        <f aca="false">IF(OR($A238="",N(N238)=0),0,CEILING(N238*(1+IF($O238="",Taux_PA,$O238))-0.005,Pas_Arrondi))</f>
        <v>0</v>
      </c>
      <c r="T238" s="22" t="str">
        <f aca="false">IF($A238="","",SUM(K238:N238))</f>
        <v/>
      </c>
      <c r="U238" s="22" t="str">
        <f aca="false">IF($A238="","",SUM(P238:S238))</f>
        <v/>
      </c>
      <c r="V238" s="22" t="str">
        <f aca="false">IF($A238="","",U238-T238)</f>
        <v/>
      </c>
      <c r="W238" s="23" t="str">
        <f aca="false">IF(OR($A238="",N(T238)=0),"",V238/T238)</f>
        <v/>
      </c>
      <c r="X238" s="18"/>
      <c r="Y238" s="18"/>
    </row>
    <row r="239" customFormat="false" ht="15" hidden="false" customHeight="false" outlineLevel="0" collapsed="false">
      <c r="A239" s="18"/>
      <c r="B239" s="18"/>
      <c r="C239" s="18"/>
      <c r="D239" s="18"/>
      <c r="E239" s="18"/>
      <c r="F239" s="18"/>
      <c r="G239" s="18"/>
      <c r="H239" s="19"/>
      <c r="I239" s="18"/>
      <c r="J239" s="18"/>
      <c r="K239" s="20"/>
      <c r="L239" s="20"/>
      <c r="M239" s="20"/>
      <c r="N239" s="20"/>
      <c r="O239" s="21"/>
      <c r="P239" s="22" t="n">
        <f aca="false">IF(OR($A239="",N(K239)=0),0,CEILING(K239*(1+IF($O239="",Taux_Compta,$O239))-0.005,Pas_Arrondi))</f>
        <v>0</v>
      </c>
      <c r="Q239" s="22" t="n">
        <f aca="false">IF(OR($A239="",N(L239)=0),0,CEILING(L239*(1+IF($O239="",Taux_Paye,$O239))-0.005,Pas_Arrondi))</f>
        <v>0</v>
      </c>
      <c r="R239" s="22" t="n">
        <f aca="false">IF(OR($A239="",N(M239)=0),0,CEILING(M239*(1+IF($O239="",Taux_Jur,$O239))-0.005,Pas_Arrondi))</f>
        <v>0</v>
      </c>
      <c r="S239" s="22" t="n">
        <f aca="false">IF(OR($A239="",N(N239)=0),0,CEILING(N239*(1+IF($O239="",Taux_PA,$O239))-0.005,Pas_Arrondi))</f>
        <v>0</v>
      </c>
      <c r="T239" s="22" t="str">
        <f aca="false">IF($A239="","",SUM(K239:N239))</f>
        <v/>
      </c>
      <c r="U239" s="22" t="str">
        <f aca="false">IF($A239="","",SUM(P239:S239))</f>
        <v/>
      </c>
      <c r="V239" s="22" t="str">
        <f aca="false">IF($A239="","",U239-T239)</f>
        <v/>
      </c>
      <c r="W239" s="23" t="str">
        <f aca="false">IF(OR($A239="",N(T239)=0),"",V239/T239)</f>
        <v/>
      </c>
      <c r="X239" s="18"/>
      <c r="Y239" s="18"/>
    </row>
    <row r="240" customFormat="false" ht="15" hidden="false" customHeight="false" outlineLevel="0" collapsed="false">
      <c r="A240" s="18"/>
      <c r="B240" s="18"/>
      <c r="C240" s="18"/>
      <c r="D240" s="18"/>
      <c r="E240" s="18"/>
      <c r="F240" s="18"/>
      <c r="G240" s="18"/>
      <c r="H240" s="19"/>
      <c r="I240" s="18"/>
      <c r="J240" s="18"/>
      <c r="K240" s="20"/>
      <c r="L240" s="20"/>
      <c r="M240" s="20"/>
      <c r="N240" s="20"/>
      <c r="O240" s="21"/>
      <c r="P240" s="22" t="n">
        <f aca="false">IF(OR($A240="",N(K240)=0),0,CEILING(K240*(1+IF($O240="",Taux_Compta,$O240))-0.005,Pas_Arrondi))</f>
        <v>0</v>
      </c>
      <c r="Q240" s="22" t="n">
        <f aca="false">IF(OR($A240="",N(L240)=0),0,CEILING(L240*(1+IF($O240="",Taux_Paye,$O240))-0.005,Pas_Arrondi))</f>
        <v>0</v>
      </c>
      <c r="R240" s="22" t="n">
        <f aca="false">IF(OR($A240="",N(M240)=0),0,CEILING(M240*(1+IF($O240="",Taux_Jur,$O240))-0.005,Pas_Arrondi))</f>
        <v>0</v>
      </c>
      <c r="S240" s="22" t="n">
        <f aca="false">IF(OR($A240="",N(N240)=0),0,CEILING(N240*(1+IF($O240="",Taux_PA,$O240))-0.005,Pas_Arrondi))</f>
        <v>0</v>
      </c>
      <c r="T240" s="22" t="str">
        <f aca="false">IF($A240="","",SUM(K240:N240))</f>
        <v/>
      </c>
      <c r="U240" s="22" t="str">
        <f aca="false">IF($A240="","",SUM(P240:S240))</f>
        <v/>
      </c>
      <c r="V240" s="22" t="str">
        <f aca="false">IF($A240="","",U240-T240)</f>
        <v/>
      </c>
      <c r="W240" s="23" t="str">
        <f aca="false">IF(OR($A240="",N(T240)=0),"",V240/T240)</f>
        <v/>
      </c>
      <c r="X240" s="18"/>
      <c r="Y240" s="18"/>
    </row>
    <row r="241" customFormat="false" ht="15" hidden="false" customHeight="false" outlineLevel="0" collapsed="false">
      <c r="A241" s="18"/>
      <c r="B241" s="18"/>
      <c r="C241" s="18"/>
      <c r="D241" s="18"/>
      <c r="E241" s="18"/>
      <c r="F241" s="18"/>
      <c r="G241" s="18"/>
      <c r="H241" s="19"/>
      <c r="I241" s="18"/>
      <c r="J241" s="18"/>
      <c r="K241" s="20"/>
      <c r="L241" s="20"/>
      <c r="M241" s="20"/>
      <c r="N241" s="20"/>
      <c r="O241" s="21"/>
      <c r="P241" s="22" t="n">
        <f aca="false">IF(OR($A241="",N(K241)=0),0,CEILING(K241*(1+IF($O241="",Taux_Compta,$O241))-0.005,Pas_Arrondi))</f>
        <v>0</v>
      </c>
      <c r="Q241" s="22" t="n">
        <f aca="false">IF(OR($A241="",N(L241)=0),0,CEILING(L241*(1+IF($O241="",Taux_Paye,$O241))-0.005,Pas_Arrondi))</f>
        <v>0</v>
      </c>
      <c r="R241" s="22" t="n">
        <f aca="false">IF(OR($A241="",N(M241)=0),0,CEILING(M241*(1+IF($O241="",Taux_Jur,$O241))-0.005,Pas_Arrondi))</f>
        <v>0</v>
      </c>
      <c r="S241" s="22" t="n">
        <f aca="false">IF(OR($A241="",N(N241)=0),0,CEILING(N241*(1+IF($O241="",Taux_PA,$O241))-0.005,Pas_Arrondi))</f>
        <v>0</v>
      </c>
      <c r="T241" s="22" t="str">
        <f aca="false">IF($A241="","",SUM(K241:N241))</f>
        <v/>
      </c>
      <c r="U241" s="22" t="str">
        <f aca="false">IF($A241="","",SUM(P241:S241))</f>
        <v/>
      </c>
      <c r="V241" s="22" t="str">
        <f aca="false">IF($A241="","",U241-T241)</f>
        <v/>
      </c>
      <c r="W241" s="23" t="str">
        <f aca="false">IF(OR($A241="",N(T241)=0),"",V241/T241)</f>
        <v/>
      </c>
      <c r="X241" s="18"/>
      <c r="Y241" s="18"/>
    </row>
    <row r="242" customFormat="false" ht="15" hidden="false" customHeight="false" outlineLevel="0" collapsed="false">
      <c r="A242" s="18"/>
      <c r="B242" s="18"/>
      <c r="C242" s="18"/>
      <c r="D242" s="18"/>
      <c r="E242" s="18"/>
      <c r="F242" s="18"/>
      <c r="G242" s="18"/>
      <c r="H242" s="19"/>
      <c r="I242" s="18"/>
      <c r="J242" s="18"/>
      <c r="K242" s="20"/>
      <c r="L242" s="20"/>
      <c r="M242" s="20"/>
      <c r="N242" s="20"/>
      <c r="O242" s="21"/>
      <c r="P242" s="22" t="n">
        <f aca="false">IF(OR($A242="",N(K242)=0),0,CEILING(K242*(1+IF($O242="",Taux_Compta,$O242))-0.005,Pas_Arrondi))</f>
        <v>0</v>
      </c>
      <c r="Q242" s="22" t="n">
        <f aca="false">IF(OR($A242="",N(L242)=0),0,CEILING(L242*(1+IF($O242="",Taux_Paye,$O242))-0.005,Pas_Arrondi))</f>
        <v>0</v>
      </c>
      <c r="R242" s="22" t="n">
        <f aca="false">IF(OR($A242="",N(M242)=0),0,CEILING(M242*(1+IF($O242="",Taux_Jur,$O242))-0.005,Pas_Arrondi))</f>
        <v>0</v>
      </c>
      <c r="S242" s="22" t="n">
        <f aca="false">IF(OR($A242="",N(N242)=0),0,CEILING(N242*(1+IF($O242="",Taux_PA,$O242))-0.005,Pas_Arrondi))</f>
        <v>0</v>
      </c>
      <c r="T242" s="22" t="str">
        <f aca="false">IF($A242="","",SUM(K242:N242))</f>
        <v/>
      </c>
      <c r="U242" s="22" t="str">
        <f aca="false">IF($A242="","",SUM(P242:S242))</f>
        <v/>
      </c>
      <c r="V242" s="22" t="str">
        <f aca="false">IF($A242="","",U242-T242)</f>
        <v/>
      </c>
      <c r="W242" s="23" t="str">
        <f aca="false">IF(OR($A242="",N(T242)=0),"",V242/T242)</f>
        <v/>
      </c>
      <c r="X242" s="18"/>
      <c r="Y242" s="18"/>
    </row>
    <row r="243" customFormat="false" ht="15" hidden="false" customHeight="false" outlineLevel="0" collapsed="false">
      <c r="A243" s="18"/>
      <c r="B243" s="18"/>
      <c r="C243" s="18"/>
      <c r="D243" s="18"/>
      <c r="E243" s="18"/>
      <c r="F243" s="18"/>
      <c r="G243" s="18"/>
      <c r="H243" s="19"/>
      <c r="I243" s="18"/>
      <c r="J243" s="18"/>
      <c r="K243" s="20"/>
      <c r="L243" s="20"/>
      <c r="M243" s="20"/>
      <c r="N243" s="20"/>
      <c r="O243" s="21"/>
      <c r="P243" s="22" t="n">
        <f aca="false">IF(OR($A243="",N(K243)=0),0,CEILING(K243*(1+IF($O243="",Taux_Compta,$O243))-0.005,Pas_Arrondi))</f>
        <v>0</v>
      </c>
      <c r="Q243" s="22" t="n">
        <f aca="false">IF(OR($A243="",N(L243)=0),0,CEILING(L243*(1+IF($O243="",Taux_Paye,$O243))-0.005,Pas_Arrondi))</f>
        <v>0</v>
      </c>
      <c r="R243" s="22" t="n">
        <f aca="false">IF(OR($A243="",N(M243)=0),0,CEILING(M243*(1+IF($O243="",Taux_Jur,$O243))-0.005,Pas_Arrondi))</f>
        <v>0</v>
      </c>
      <c r="S243" s="22" t="n">
        <f aca="false">IF(OR($A243="",N(N243)=0),0,CEILING(N243*(1+IF($O243="",Taux_PA,$O243))-0.005,Pas_Arrondi))</f>
        <v>0</v>
      </c>
      <c r="T243" s="22" t="str">
        <f aca="false">IF($A243="","",SUM(K243:N243))</f>
        <v/>
      </c>
      <c r="U243" s="22" t="str">
        <f aca="false">IF($A243="","",SUM(P243:S243))</f>
        <v/>
      </c>
      <c r="V243" s="22" t="str">
        <f aca="false">IF($A243="","",U243-T243)</f>
        <v/>
      </c>
      <c r="W243" s="23" t="str">
        <f aca="false">IF(OR($A243="",N(T243)=0),"",V243/T243)</f>
        <v/>
      </c>
      <c r="X243" s="18"/>
      <c r="Y243" s="18"/>
    </row>
    <row r="244" customFormat="false" ht="15" hidden="false" customHeight="false" outlineLevel="0" collapsed="false">
      <c r="A244" s="18"/>
      <c r="B244" s="18"/>
      <c r="C244" s="18"/>
      <c r="D244" s="18"/>
      <c r="E244" s="18"/>
      <c r="F244" s="18"/>
      <c r="G244" s="18"/>
      <c r="H244" s="19"/>
      <c r="I244" s="18"/>
      <c r="J244" s="18"/>
      <c r="K244" s="20"/>
      <c r="L244" s="20"/>
      <c r="M244" s="20"/>
      <c r="N244" s="20"/>
      <c r="O244" s="21"/>
      <c r="P244" s="22" t="n">
        <f aca="false">IF(OR($A244="",N(K244)=0),0,CEILING(K244*(1+IF($O244="",Taux_Compta,$O244))-0.005,Pas_Arrondi))</f>
        <v>0</v>
      </c>
      <c r="Q244" s="22" t="n">
        <f aca="false">IF(OR($A244="",N(L244)=0),0,CEILING(L244*(1+IF($O244="",Taux_Paye,$O244))-0.005,Pas_Arrondi))</f>
        <v>0</v>
      </c>
      <c r="R244" s="22" t="n">
        <f aca="false">IF(OR($A244="",N(M244)=0),0,CEILING(M244*(1+IF($O244="",Taux_Jur,$O244))-0.005,Pas_Arrondi))</f>
        <v>0</v>
      </c>
      <c r="S244" s="22" t="n">
        <f aca="false">IF(OR($A244="",N(N244)=0),0,CEILING(N244*(1+IF($O244="",Taux_PA,$O244))-0.005,Pas_Arrondi))</f>
        <v>0</v>
      </c>
      <c r="T244" s="22" t="str">
        <f aca="false">IF($A244="","",SUM(K244:N244))</f>
        <v/>
      </c>
      <c r="U244" s="22" t="str">
        <f aca="false">IF($A244="","",SUM(P244:S244))</f>
        <v/>
      </c>
      <c r="V244" s="22" t="str">
        <f aca="false">IF($A244="","",U244-T244)</f>
        <v/>
      </c>
      <c r="W244" s="23" t="str">
        <f aca="false">IF(OR($A244="",N(T244)=0),"",V244/T244)</f>
        <v/>
      </c>
      <c r="X244" s="18"/>
      <c r="Y244" s="18"/>
    </row>
    <row r="245" customFormat="false" ht="15" hidden="false" customHeight="false" outlineLevel="0" collapsed="false">
      <c r="A245" s="18"/>
      <c r="B245" s="18"/>
      <c r="C245" s="18"/>
      <c r="D245" s="18"/>
      <c r="E245" s="18"/>
      <c r="F245" s="18"/>
      <c r="G245" s="18"/>
      <c r="H245" s="19"/>
      <c r="I245" s="18"/>
      <c r="J245" s="18"/>
      <c r="K245" s="20"/>
      <c r="L245" s="20"/>
      <c r="M245" s="20"/>
      <c r="N245" s="20"/>
      <c r="O245" s="21"/>
      <c r="P245" s="22" t="n">
        <f aca="false">IF(OR($A245="",N(K245)=0),0,CEILING(K245*(1+IF($O245="",Taux_Compta,$O245))-0.005,Pas_Arrondi))</f>
        <v>0</v>
      </c>
      <c r="Q245" s="22" t="n">
        <f aca="false">IF(OR($A245="",N(L245)=0),0,CEILING(L245*(1+IF($O245="",Taux_Paye,$O245))-0.005,Pas_Arrondi))</f>
        <v>0</v>
      </c>
      <c r="R245" s="22" t="n">
        <f aca="false">IF(OR($A245="",N(M245)=0),0,CEILING(M245*(1+IF($O245="",Taux_Jur,$O245))-0.005,Pas_Arrondi))</f>
        <v>0</v>
      </c>
      <c r="S245" s="22" t="n">
        <f aca="false">IF(OR($A245="",N(N245)=0),0,CEILING(N245*(1+IF($O245="",Taux_PA,$O245))-0.005,Pas_Arrondi))</f>
        <v>0</v>
      </c>
      <c r="T245" s="22" t="str">
        <f aca="false">IF($A245="","",SUM(K245:N245))</f>
        <v/>
      </c>
      <c r="U245" s="22" t="str">
        <f aca="false">IF($A245="","",SUM(P245:S245))</f>
        <v/>
      </c>
      <c r="V245" s="22" t="str">
        <f aca="false">IF($A245="","",U245-T245)</f>
        <v/>
      </c>
      <c r="W245" s="23" t="str">
        <f aca="false">IF(OR($A245="",N(T245)=0),"",V245/T245)</f>
        <v/>
      </c>
      <c r="X245" s="18"/>
      <c r="Y245" s="18"/>
    </row>
    <row r="246" customFormat="false" ht="15" hidden="false" customHeight="false" outlineLevel="0" collapsed="false">
      <c r="A246" s="18"/>
      <c r="B246" s="18"/>
      <c r="C246" s="18"/>
      <c r="D246" s="18"/>
      <c r="E246" s="18"/>
      <c r="F246" s="18"/>
      <c r="G246" s="18"/>
      <c r="H246" s="19"/>
      <c r="I246" s="18"/>
      <c r="J246" s="18"/>
      <c r="K246" s="20"/>
      <c r="L246" s="20"/>
      <c r="M246" s="20"/>
      <c r="N246" s="20"/>
      <c r="O246" s="21"/>
      <c r="P246" s="22" t="n">
        <f aca="false">IF(OR($A246="",N(K246)=0),0,CEILING(K246*(1+IF($O246="",Taux_Compta,$O246))-0.005,Pas_Arrondi))</f>
        <v>0</v>
      </c>
      <c r="Q246" s="22" t="n">
        <f aca="false">IF(OR($A246="",N(L246)=0),0,CEILING(L246*(1+IF($O246="",Taux_Paye,$O246))-0.005,Pas_Arrondi))</f>
        <v>0</v>
      </c>
      <c r="R246" s="22" t="n">
        <f aca="false">IF(OR($A246="",N(M246)=0),0,CEILING(M246*(1+IF($O246="",Taux_Jur,$O246))-0.005,Pas_Arrondi))</f>
        <v>0</v>
      </c>
      <c r="S246" s="22" t="n">
        <f aca="false">IF(OR($A246="",N(N246)=0),0,CEILING(N246*(1+IF($O246="",Taux_PA,$O246))-0.005,Pas_Arrondi))</f>
        <v>0</v>
      </c>
      <c r="T246" s="22" t="str">
        <f aca="false">IF($A246="","",SUM(K246:N246))</f>
        <v/>
      </c>
      <c r="U246" s="22" t="str">
        <f aca="false">IF($A246="","",SUM(P246:S246))</f>
        <v/>
      </c>
      <c r="V246" s="22" t="str">
        <f aca="false">IF($A246="","",U246-T246)</f>
        <v/>
      </c>
      <c r="W246" s="23" t="str">
        <f aca="false">IF(OR($A246="",N(T246)=0),"",V246/T246)</f>
        <v/>
      </c>
      <c r="X246" s="18"/>
      <c r="Y246" s="18"/>
    </row>
    <row r="247" customFormat="false" ht="15" hidden="false" customHeight="false" outlineLevel="0" collapsed="false">
      <c r="A247" s="18"/>
      <c r="B247" s="18"/>
      <c r="C247" s="18"/>
      <c r="D247" s="18"/>
      <c r="E247" s="18"/>
      <c r="F247" s="18"/>
      <c r="G247" s="18"/>
      <c r="H247" s="19"/>
      <c r="I247" s="18"/>
      <c r="J247" s="18"/>
      <c r="K247" s="20"/>
      <c r="L247" s="20"/>
      <c r="M247" s="20"/>
      <c r="N247" s="20"/>
      <c r="O247" s="21"/>
      <c r="P247" s="22" t="n">
        <f aca="false">IF(OR($A247="",N(K247)=0),0,CEILING(K247*(1+IF($O247="",Taux_Compta,$O247))-0.005,Pas_Arrondi))</f>
        <v>0</v>
      </c>
      <c r="Q247" s="22" t="n">
        <f aca="false">IF(OR($A247="",N(L247)=0),0,CEILING(L247*(1+IF($O247="",Taux_Paye,$O247))-0.005,Pas_Arrondi))</f>
        <v>0</v>
      </c>
      <c r="R247" s="22" t="n">
        <f aca="false">IF(OR($A247="",N(M247)=0),0,CEILING(M247*(1+IF($O247="",Taux_Jur,$O247))-0.005,Pas_Arrondi))</f>
        <v>0</v>
      </c>
      <c r="S247" s="22" t="n">
        <f aca="false">IF(OR($A247="",N(N247)=0),0,CEILING(N247*(1+IF($O247="",Taux_PA,$O247))-0.005,Pas_Arrondi))</f>
        <v>0</v>
      </c>
      <c r="T247" s="22" t="str">
        <f aca="false">IF($A247="","",SUM(K247:N247))</f>
        <v/>
      </c>
      <c r="U247" s="22" t="str">
        <f aca="false">IF($A247="","",SUM(P247:S247))</f>
        <v/>
      </c>
      <c r="V247" s="22" t="str">
        <f aca="false">IF($A247="","",U247-T247)</f>
        <v/>
      </c>
      <c r="W247" s="23" t="str">
        <f aca="false">IF(OR($A247="",N(T247)=0),"",V247/T247)</f>
        <v/>
      </c>
      <c r="X247" s="18"/>
      <c r="Y247" s="18"/>
    </row>
    <row r="248" customFormat="false" ht="15" hidden="false" customHeight="false" outlineLevel="0" collapsed="false">
      <c r="A248" s="18"/>
      <c r="B248" s="18"/>
      <c r="C248" s="18"/>
      <c r="D248" s="18"/>
      <c r="E248" s="18"/>
      <c r="F248" s="18"/>
      <c r="G248" s="18"/>
      <c r="H248" s="19"/>
      <c r="I248" s="18"/>
      <c r="J248" s="18"/>
      <c r="K248" s="20"/>
      <c r="L248" s="20"/>
      <c r="M248" s="20"/>
      <c r="N248" s="20"/>
      <c r="O248" s="21"/>
      <c r="P248" s="22" t="n">
        <f aca="false">IF(OR($A248="",N(K248)=0),0,CEILING(K248*(1+IF($O248="",Taux_Compta,$O248))-0.005,Pas_Arrondi))</f>
        <v>0</v>
      </c>
      <c r="Q248" s="22" t="n">
        <f aca="false">IF(OR($A248="",N(L248)=0),0,CEILING(L248*(1+IF($O248="",Taux_Paye,$O248))-0.005,Pas_Arrondi))</f>
        <v>0</v>
      </c>
      <c r="R248" s="22" t="n">
        <f aca="false">IF(OR($A248="",N(M248)=0),0,CEILING(M248*(1+IF($O248="",Taux_Jur,$O248))-0.005,Pas_Arrondi))</f>
        <v>0</v>
      </c>
      <c r="S248" s="22" t="n">
        <f aca="false">IF(OR($A248="",N(N248)=0),0,CEILING(N248*(1+IF($O248="",Taux_PA,$O248))-0.005,Pas_Arrondi))</f>
        <v>0</v>
      </c>
      <c r="T248" s="22" t="str">
        <f aca="false">IF($A248="","",SUM(K248:N248))</f>
        <v/>
      </c>
      <c r="U248" s="22" t="str">
        <f aca="false">IF($A248="","",SUM(P248:S248))</f>
        <v/>
      </c>
      <c r="V248" s="22" t="str">
        <f aca="false">IF($A248="","",U248-T248)</f>
        <v/>
      </c>
      <c r="W248" s="23" t="str">
        <f aca="false">IF(OR($A248="",N(T248)=0),"",V248/T248)</f>
        <v/>
      </c>
      <c r="X248" s="18"/>
      <c r="Y248" s="18"/>
    </row>
    <row r="249" customFormat="false" ht="15" hidden="false" customHeight="false" outlineLevel="0" collapsed="false">
      <c r="A249" s="18"/>
      <c r="B249" s="18"/>
      <c r="C249" s="18"/>
      <c r="D249" s="18"/>
      <c r="E249" s="18"/>
      <c r="F249" s="18"/>
      <c r="G249" s="18"/>
      <c r="H249" s="19"/>
      <c r="I249" s="18"/>
      <c r="J249" s="18"/>
      <c r="K249" s="20"/>
      <c r="L249" s="20"/>
      <c r="M249" s="20"/>
      <c r="N249" s="20"/>
      <c r="O249" s="21"/>
      <c r="P249" s="22" t="n">
        <f aca="false">IF(OR($A249="",N(K249)=0),0,CEILING(K249*(1+IF($O249="",Taux_Compta,$O249))-0.005,Pas_Arrondi))</f>
        <v>0</v>
      </c>
      <c r="Q249" s="22" t="n">
        <f aca="false">IF(OR($A249="",N(L249)=0),0,CEILING(L249*(1+IF($O249="",Taux_Paye,$O249))-0.005,Pas_Arrondi))</f>
        <v>0</v>
      </c>
      <c r="R249" s="22" t="n">
        <f aca="false">IF(OR($A249="",N(M249)=0),0,CEILING(M249*(1+IF($O249="",Taux_Jur,$O249))-0.005,Pas_Arrondi))</f>
        <v>0</v>
      </c>
      <c r="S249" s="22" t="n">
        <f aca="false">IF(OR($A249="",N(N249)=0),0,CEILING(N249*(1+IF($O249="",Taux_PA,$O249))-0.005,Pas_Arrondi))</f>
        <v>0</v>
      </c>
      <c r="T249" s="22" t="str">
        <f aca="false">IF($A249="","",SUM(K249:N249))</f>
        <v/>
      </c>
      <c r="U249" s="22" t="str">
        <f aca="false">IF($A249="","",SUM(P249:S249))</f>
        <v/>
      </c>
      <c r="V249" s="22" t="str">
        <f aca="false">IF($A249="","",U249-T249)</f>
        <v/>
      </c>
      <c r="W249" s="23" t="str">
        <f aca="false">IF(OR($A249="",N(T249)=0),"",V249/T249)</f>
        <v/>
      </c>
      <c r="X249" s="18"/>
      <c r="Y249" s="18"/>
    </row>
    <row r="250" customFormat="false" ht="15" hidden="false" customHeight="false" outlineLevel="0" collapsed="false">
      <c r="A250" s="18"/>
      <c r="B250" s="18"/>
      <c r="C250" s="18"/>
      <c r="D250" s="18"/>
      <c r="E250" s="18"/>
      <c r="F250" s="18"/>
      <c r="G250" s="18"/>
      <c r="H250" s="19"/>
      <c r="I250" s="18"/>
      <c r="J250" s="18"/>
      <c r="K250" s="20"/>
      <c r="L250" s="20"/>
      <c r="M250" s="20"/>
      <c r="N250" s="20"/>
      <c r="O250" s="21"/>
      <c r="P250" s="22" t="n">
        <f aca="false">IF(OR($A250="",N(K250)=0),0,CEILING(K250*(1+IF($O250="",Taux_Compta,$O250))-0.005,Pas_Arrondi))</f>
        <v>0</v>
      </c>
      <c r="Q250" s="22" t="n">
        <f aca="false">IF(OR($A250="",N(L250)=0),0,CEILING(L250*(1+IF($O250="",Taux_Paye,$O250))-0.005,Pas_Arrondi))</f>
        <v>0</v>
      </c>
      <c r="R250" s="22" t="n">
        <f aca="false">IF(OR($A250="",N(M250)=0),0,CEILING(M250*(1+IF($O250="",Taux_Jur,$O250))-0.005,Pas_Arrondi))</f>
        <v>0</v>
      </c>
      <c r="S250" s="22" t="n">
        <f aca="false">IF(OR($A250="",N(N250)=0),0,CEILING(N250*(1+IF($O250="",Taux_PA,$O250))-0.005,Pas_Arrondi))</f>
        <v>0</v>
      </c>
      <c r="T250" s="22" t="str">
        <f aca="false">IF($A250="","",SUM(K250:N250))</f>
        <v/>
      </c>
      <c r="U250" s="22" t="str">
        <f aca="false">IF($A250="","",SUM(P250:S250))</f>
        <v/>
      </c>
      <c r="V250" s="22" t="str">
        <f aca="false">IF($A250="","",U250-T250)</f>
        <v/>
      </c>
      <c r="W250" s="23" t="str">
        <f aca="false">IF(OR($A250="",N(T250)=0),"",V250/T250)</f>
        <v/>
      </c>
      <c r="X250" s="18"/>
      <c r="Y250" s="18"/>
    </row>
    <row r="251" customFormat="false" ht="15" hidden="false" customHeight="false" outlineLevel="0" collapsed="false">
      <c r="A251" s="18"/>
      <c r="B251" s="18"/>
      <c r="C251" s="18"/>
      <c r="D251" s="18"/>
      <c r="E251" s="18"/>
      <c r="F251" s="18"/>
      <c r="G251" s="18"/>
      <c r="H251" s="19"/>
      <c r="I251" s="18"/>
      <c r="J251" s="18"/>
      <c r="K251" s="20"/>
      <c r="L251" s="20"/>
      <c r="M251" s="20"/>
      <c r="N251" s="20"/>
      <c r="O251" s="21"/>
      <c r="P251" s="22" t="n">
        <f aca="false">IF(OR($A251="",N(K251)=0),0,CEILING(K251*(1+IF($O251="",Taux_Compta,$O251))-0.005,Pas_Arrondi))</f>
        <v>0</v>
      </c>
      <c r="Q251" s="22" t="n">
        <f aca="false">IF(OR($A251="",N(L251)=0),0,CEILING(L251*(1+IF($O251="",Taux_Paye,$O251))-0.005,Pas_Arrondi))</f>
        <v>0</v>
      </c>
      <c r="R251" s="22" t="n">
        <f aca="false">IF(OR($A251="",N(M251)=0),0,CEILING(M251*(1+IF($O251="",Taux_Jur,$O251))-0.005,Pas_Arrondi))</f>
        <v>0</v>
      </c>
      <c r="S251" s="22" t="n">
        <f aca="false">IF(OR($A251="",N(N251)=0),0,CEILING(N251*(1+IF($O251="",Taux_PA,$O251))-0.005,Pas_Arrondi))</f>
        <v>0</v>
      </c>
      <c r="T251" s="22" t="str">
        <f aca="false">IF($A251="","",SUM(K251:N251))</f>
        <v/>
      </c>
      <c r="U251" s="22" t="str">
        <f aca="false">IF($A251="","",SUM(P251:S251))</f>
        <v/>
      </c>
      <c r="V251" s="22" t="str">
        <f aca="false">IF($A251="","",U251-T251)</f>
        <v/>
      </c>
      <c r="W251" s="23" t="str">
        <f aca="false">IF(OR($A251="",N(T251)=0),"",V251/T251)</f>
        <v/>
      </c>
      <c r="X251" s="18"/>
      <c r="Y251" s="18"/>
    </row>
    <row r="252" customFormat="false" ht="15" hidden="false" customHeight="false" outlineLevel="0" collapsed="false">
      <c r="A252" s="18"/>
      <c r="B252" s="18"/>
      <c r="C252" s="18"/>
      <c r="D252" s="18"/>
      <c r="E252" s="18"/>
      <c r="F252" s="18"/>
      <c r="G252" s="18"/>
      <c r="H252" s="19"/>
      <c r="I252" s="18"/>
      <c r="J252" s="18"/>
      <c r="K252" s="20"/>
      <c r="L252" s="20"/>
      <c r="M252" s="20"/>
      <c r="N252" s="20"/>
      <c r="O252" s="21"/>
      <c r="P252" s="22" t="n">
        <f aca="false">IF(OR($A252="",N(K252)=0),0,CEILING(K252*(1+IF($O252="",Taux_Compta,$O252))-0.005,Pas_Arrondi))</f>
        <v>0</v>
      </c>
      <c r="Q252" s="22" t="n">
        <f aca="false">IF(OR($A252="",N(L252)=0),0,CEILING(L252*(1+IF($O252="",Taux_Paye,$O252))-0.005,Pas_Arrondi))</f>
        <v>0</v>
      </c>
      <c r="R252" s="22" t="n">
        <f aca="false">IF(OR($A252="",N(M252)=0),0,CEILING(M252*(1+IF($O252="",Taux_Jur,$O252))-0.005,Pas_Arrondi))</f>
        <v>0</v>
      </c>
      <c r="S252" s="22" t="n">
        <f aca="false">IF(OR($A252="",N(N252)=0),0,CEILING(N252*(1+IF($O252="",Taux_PA,$O252))-0.005,Pas_Arrondi))</f>
        <v>0</v>
      </c>
      <c r="T252" s="22" t="str">
        <f aca="false">IF($A252="","",SUM(K252:N252))</f>
        <v/>
      </c>
      <c r="U252" s="22" t="str">
        <f aca="false">IF($A252="","",SUM(P252:S252))</f>
        <v/>
      </c>
      <c r="V252" s="22" t="str">
        <f aca="false">IF($A252="","",U252-T252)</f>
        <v/>
      </c>
      <c r="W252" s="23" t="str">
        <f aca="false">IF(OR($A252="",N(T252)=0),"",V252/T252)</f>
        <v/>
      </c>
      <c r="X252" s="18"/>
      <c r="Y252" s="18"/>
    </row>
    <row r="253" customFormat="false" ht="15" hidden="false" customHeight="false" outlineLevel="0" collapsed="false">
      <c r="A253" s="18"/>
      <c r="B253" s="18"/>
      <c r="C253" s="18"/>
      <c r="D253" s="18"/>
      <c r="E253" s="18"/>
      <c r="F253" s="18"/>
      <c r="G253" s="18"/>
      <c r="H253" s="19"/>
      <c r="I253" s="18"/>
      <c r="J253" s="18"/>
      <c r="K253" s="20"/>
      <c r="L253" s="20"/>
      <c r="M253" s="20"/>
      <c r="N253" s="20"/>
      <c r="O253" s="21"/>
      <c r="P253" s="22" t="n">
        <f aca="false">IF(OR($A253="",N(K253)=0),0,CEILING(K253*(1+IF($O253="",Taux_Compta,$O253))-0.005,Pas_Arrondi))</f>
        <v>0</v>
      </c>
      <c r="Q253" s="22" t="n">
        <f aca="false">IF(OR($A253="",N(L253)=0),0,CEILING(L253*(1+IF($O253="",Taux_Paye,$O253))-0.005,Pas_Arrondi))</f>
        <v>0</v>
      </c>
      <c r="R253" s="22" t="n">
        <f aca="false">IF(OR($A253="",N(M253)=0),0,CEILING(M253*(1+IF($O253="",Taux_Jur,$O253))-0.005,Pas_Arrondi))</f>
        <v>0</v>
      </c>
      <c r="S253" s="22" t="n">
        <f aca="false">IF(OR($A253="",N(N253)=0),0,CEILING(N253*(1+IF($O253="",Taux_PA,$O253))-0.005,Pas_Arrondi))</f>
        <v>0</v>
      </c>
      <c r="T253" s="22" t="str">
        <f aca="false">IF($A253="","",SUM(K253:N253))</f>
        <v/>
      </c>
      <c r="U253" s="22" t="str">
        <f aca="false">IF($A253="","",SUM(P253:S253))</f>
        <v/>
      </c>
      <c r="V253" s="22" t="str">
        <f aca="false">IF($A253="","",U253-T253)</f>
        <v/>
      </c>
      <c r="W253" s="23" t="str">
        <f aca="false">IF(OR($A253="",N(T253)=0),"",V253/T253)</f>
        <v/>
      </c>
      <c r="X253" s="18"/>
      <c r="Y253" s="18"/>
    </row>
    <row r="254" customFormat="false" ht="15" hidden="false" customHeight="false" outlineLevel="0" collapsed="false">
      <c r="A254" s="18"/>
      <c r="B254" s="18"/>
      <c r="C254" s="18"/>
      <c r="D254" s="18"/>
      <c r="E254" s="18"/>
      <c r="F254" s="18"/>
      <c r="G254" s="18"/>
      <c r="H254" s="19"/>
      <c r="I254" s="18"/>
      <c r="J254" s="18"/>
      <c r="K254" s="20"/>
      <c r="L254" s="20"/>
      <c r="M254" s="20"/>
      <c r="N254" s="20"/>
      <c r="O254" s="21"/>
      <c r="P254" s="22" t="n">
        <f aca="false">IF(OR($A254="",N(K254)=0),0,CEILING(K254*(1+IF($O254="",Taux_Compta,$O254))-0.005,Pas_Arrondi))</f>
        <v>0</v>
      </c>
      <c r="Q254" s="22" t="n">
        <f aca="false">IF(OR($A254="",N(L254)=0),0,CEILING(L254*(1+IF($O254="",Taux_Paye,$O254))-0.005,Pas_Arrondi))</f>
        <v>0</v>
      </c>
      <c r="R254" s="22" t="n">
        <f aca="false">IF(OR($A254="",N(M254)=0),0,CEILING(M254*(1+IF($O254="",Taux_Jur,$O254))-0.005,Pas_Arrondi))</f>
        <v>0</v>
      </c>
      <c r="S254" s="22" t="n">
        <f aca="false">IF(OR($A254="",N(N254)=0),0,CEILING(N254*(1+IF($O254="",Taux_PA,$O254))-0.005,Pas_Arrondi))</f>
        <v>0</v>
      </c>
      <c r="T254" s="22" t="str">
        <f aca="false">IF($A254="","",SUM(K254:N254))</f>
        <v/>
      </c>
      <c r="U254" s="22" t="str">
        <f aca="false">IF($A254="","",SUM(P254:S254))</f>
        <v/>
      </c>
      <c r="V254" s="22" t="str">
        <f aca="false">IF($A254="","",U254-T254)</f>
        <v/>
      </c>
      <c r="W254" s="23" t="str">
        <f aca="false">IF(OR($A254="",N(T254)=0),"",V254/T254)</f>
        <v/>
      </c>
      <c r="X254" s="18"/>
      <c r="Y254" s="18"/>
    </row>
    <row r="255" customFormat="false" ht="15" hidden="false" customHeight="false" outlineLevel="0" collapsed="false">
      <c r="A255" s="18"/>
      <c r="B255" s="18"/>
      <c r="C255" s="18"/>
      <c r="D255" s="18"/>
      <c r="E255" s="18"/>
      <c r="F255" s="18"/>
      <c r="G255" s="18"/>
      <c r="H255" s="19"/>
      <c r="I255" s="18"/>
      <c r="J255" s="18"/>
      <c r="K255" s="20"/>
      <c r="L255" s="20"/>
      <c r="M255" s="20"/>
      <c r="N255" s="20"/>
      <c r="O255" s="21"/>
      <c r="P255" s="22" t="n">
        <f aca="false">IF(OR($A255="",N(K255)=0),0,CEILING(K255*(1+IF($O255="",Taux_Compta,$O255))-0.005,Pas_Arrondi))</f>
        <v>0</v>
      </c>
      <c r="Q255" s="22" t="n">
        <f aca="false">IF(OR($A255="",N(L255)=0),0,CEILING(L255*(1+IF($O255="",Taux_Paye,$O255))-0.005,Pas_Arrondi))</f>
        <v>0</v>
      </c>
      <c r="R255" s="22" t="n">
        <f aca="false">IF(OR($A255="",N(M255)=0),0,CEILING(M255*(1+IF($O255="",Taux_Jur,$O255))-0.005,Pas_Arrondi))</f>
        <v>0</v>
      </c>
      <c r="S255" s="22" t="n">
        <f aca="false">IF(OR($A255="",N(N255)=0),0,CEILING(N255*(1+IF($O255="",Taux_PA,$O255))-0.005,Pas_Arrondi))</f>
        <v>0</v>
      </c>
      <c r="T255" s="22" t="str">
        <f aca="false">IF($A255="","",SUM(K255:N255))</f>
        <v/>
      </c>
      <c r="U255" s="22" t="str">
        <f aca="false">IF($A255="","",SUM(P255:S255))</f>
        <v/>
      </c>
      <c r="V255" s="22" t="str">
        <f aca="false">IF($A255="","",U255-T255)</f>
        <v/>
      </c>
      <c r="W255" s="23" t="str">
        <f aca="false">IF(OR($A255="",N(T255)=0),"",V255/T255)</f>
        <v/>
      </c>
      <c r="X255" s="18"/>
      <c r="Y255" s="18"/>
    </row>
    <row r="256" customFormat="false" ht="15" hidden="false" customHeight="false" outlineLevel="0" collapsed="false">
      <c r="A256" s="18"/>
      <c r="B256" s="18"/>
      <c r="C256" s="18"/>
      <c r="D256" s="18"/>
      <c r="E256" s="18"/>
      <c r="F256" s="18"/>
      <c r="G256" s="18"/>
      <c r="H256" s="19"/>
      <c r="I256" s="18"/>
      <c r="J256" s="18"/>
      <c r="K256" s="20"/>
      <c r="L256" s="20"/>
      <c r="M256" s="20"/>
      <c r="N256" s="20"/>
      <c r="O256" s="21"/>
      <c r="P256" s="22" t="n">
        <f aca="false">IF(OR($A256="",N(K256)=0),0,CEILING(K256*(1+IF($O256="",Taux_Compta,$O256))-0.005,Pas_Arrondi))</f>
        <v>0</v>
      </c>
      <c r="Q256" s="22" t="n">
        <f aca="false">IF(OR($A256="",N(L256)=0),0,CEILING(L256*(1+IF($O256="",Taux_Paye,$O256))-0.005,Pas_Arrondi))</f>
        <v>0</v>
      </c>
      <c r="R256" s="22" t="n">
        <f aca="false">IF(OR($A256="",N(M256)=0),0,CEILING(M256*(1+IF($O256="",Taux_Jur,$O256))-0.005,Pas_Arrondi))</f>
        <v>0</v>
      </c>
      <c r="S256" s="22" t="n">
        <f aca="false">IF(OR($A256="",N(N256)=0),0,CEILING(N256*(1+IF($O256="",Taux_PA,$O256))-0.005,Pas_Arrondi))</f>
        <v>0</v>
      </c>
      <c r="T256" s="22" t="str">
        <f aca="false">IF($A256="","",SUM(K256:N256))</f>
        <v/>
      </c>
      <c r="U256" s="22" t="str">
        <f aca="false">IF($A256="","",SUM(P256:S256))</f>
        <v/>
      </c>
      <c r="V256" s="22" t="str">
        <f aca="false">IF($A256="","",U256-T256)</f>
        <v/>
      </c>
      <c r="W256" s="23" t="str">
        <f aca="false">IF(OR($A256="",N(T256)=0),"",V256/T256)</f>
        <v/>
      </c>
      <c r="X256" s="18"/>
      <c r="Y256" s="18"/>
    </row>
    <row r="257" customFormat="false" ht="15" hidden="false" customHeight="false" outlineLevel="0" collapsed="false">
      <c r="A257" s="18"/>
      <c r="B257" s="18"/>
      <c r="C257" s="18"/>
      <c r="D257" s="18"/>
      <c r="E257" s="18"/>
      <c r="F257" s="18"/>
      <c r="G257" s="18"/>
      <c r="H257" s="19"/>
      <c r="I257" s="18"/>
      <c r="J257" s="18"/>
      <c r="K257" s="20"/>
      <c r="L257" s="20"/>
      <c r="M257" s="20"/>
      <c r="N257" s="20"/>
      <c r="O257" s="21"/>
      <c r="P257" s="22" t="n">
        <f aca="false">IF(OR($A257="",N(K257)=0),0,CEILING(K257*(1+IF($O257="",Taux_Compta,$O257))-0.005,Pas_Arrondi))</f>
        <v>0</v>
      </c>
      <c r="Q257" s="22" t="n">
        <f aca="false">IF(OR($A257="",N(L257)=0),0,CEILING(L257*(1+IF($O257="",Taux_Paye,$O257))-0.005,Pas_Arrondi))</f>
        <v>0</v>
      </c>
      <c r="R257" s="22" t="n">
        <f aca="false">IF(OR($A257="",N(M257)=0),0,CEILING(M257*(1+IF($O257="",Taux_Jur,$O257))-0.005,Pas_Arrondi))</f>
        <v>0</v>
      </c>
      <c r="S257" s="22" t="n">
        <f aca="false">IF(OR($A257="",N(N257)=0),0,CEILING(N257*(1+IF($O257="",Taux_PA,$O257))-0.005,Pas_Arrondi))</f>
        <v>0</v>
      </c>
      <c r="T257" s="22" t="str">
        <f aca="false">IF($A257="","",SUM(K257:N257))</f>
        <v/>
      </c>
      <c r="U257" s="22" t="str">
        <f aca="false">IF($A257="","",SUM(P257:S257))</f>
        <v/>
      </c>
      <c r="V257" s="22" t="str">
        <f aca="false">IF($A257="","",U257-T257)</f>
        <v/>
      </c>
      <c r="W257" s="23" t="str">
        <f aca="false">IF(OR($A257="",N(T257)=0),"",V257/T257)</f>
        <v/>
      </c>
      <c r="X257" s="18"/>
      <c r="Y257" s="18"/>
    </row>
    <row r="258" customFormat="false" ht="15" hidden="false" customHeight="false" outlineLevel="0" collapsed="false">
      <c r="A258" s="18"/>
      <c r="B258" s="18"/>
      <c r="C258" s="18"/>
      <c r="D258" s="18"/>
      <c r="E258" s="18"/>
      <c r="F258" s="18"/>
      <c r="G258" s="18"/>
      <c r="H258" s="19"/>
      <c r="I258" s="18"/>
      <c r="J258" s="18"/>
      <c r="K258" s="20"/>
      <c r="L258" s="20"/>
      <c r="M258" s="20"/>
      <c r="N258" s="20"/>
      <c r="O258" s="21"/>
      <c r="P258" s="22" t="n">
        <f aca="false">IF(OR($A258="",N(K258)=0),0,CEILING(K258*(1+IF($O258="",Taux_Compta,$O258))-0.005,Pas_Arrondi))</f>
        <v>0</v>
      </c>
      <c r="Q258" s="22" t="n">
        <f aca="false">IF(OR($A258="",N(L258)=0),0,CEILING(L258*(1+IF($O258="",Taux_Paye,$O258))-0.005,Pas_Arrondi))</f>
        <v>0</v>
      </c>
      <c r="R258" s="22" t="n">
        <f aca="false">IF(OR($A258="",N(M258)=0),0,CEILING(M258*(1+IF($O258="",Taux_Jur,$O258))-0.005,Pas_Arrondi))</f>
        <v>0</v>
      </c>
      <c r="S258" s="22" t="n">
        <f aca="false">IF(OR($A258="",N(N258)=0),0,CEILING(N258*(1+IF($O258="",Taux_PA,$O258))-0.005,Pas_Arrondi))</f>
        <v>0</v>
      </c>
      <c r="T258" s="22" t="str">
        <f aca="false">IF($A258="","",SUM(K258:N258))</f>
        <v/>
      </c>
      <c r="U258" s="22" t="str">
        <f aca="false">IF($A258="","",SUM(P258:S258))</f>
        <v/>
      </c>
      <c r="V258" s="22" t="str">
        <f aca="false">IF($A258="","",U258-T258)</f>
        <v/>
      </c>
      <c r="W258" s="23" t="str">
        <f aca="false">IF(OR($A258="",N(T258)=0),"",V258/T258)</f>
        <v/>
      </c>
      <c r="X258" s="18"/>
      <c r="Y258" s="18"/>
    </row>
    <row r="259" customFormat="false" ht="15" hidden="false" customHeight="false" outlineLevel="0" collapsed="false">
      <c r="A259" s="18"/>
      <c r="B259" s="18"/>
      <c r="C259" s="18"/>
      <c r="D259" s="18"/>
      <c r="E259" s="18"/>
      <c r="F259" s="18"/>
      <c r="G259" s="18"/>
      <c r="H259" s="19"/>
      <c r="I259" s="18"/>
      <c r="J259" s="18"/>
      <c r="K259" s="20"/>
      <c r="L259" s="20"/>
      <c r="M259" s="20"/>
      <c r="N259" s="20"/>
      <c r="O259" s="21"/>
      <c r="P259" s="22" t="n">
        <f aca="false">IF(OR($A259="",N(K259)=0),0,CEILING(K259*(1+IF($O259="",Taux_Compta,$O259))-0.005,Pas_Arrondi))</f>
        <v>0</v>
      </c>
      <c r="Q259" s="22" t="n">
        <f aca="false">IF(OR($A259="",N(L259)=0),0,CEILING(L259*(1+IF($O259="",Taux_Paye,$O259))-0.005,Pas_Arrondi))</f>
        <v>0</v>
      </c>
      <c r="R259" s="22" t="n">
        <f aca="false">IF(OR($A259="",N(M259)=0),0,CEILING(M259*(1+IF($O259="",Taux_Jur,$O259))-0.005,Pas_Arrondi))</f>
        <v>0</v>
      </c>
      <c r="S259" s="22" t="n">
        <f aca="false">IF(OR($A259="",N(N259)=0),0,CEILING(N259*(1+IF($O259="",Taux_PA,$O259))-0.005,Pas_Arrondi))</f>
        <v>0</v>
      </c>
      <c r="T259" s="22" t="str">
        <f aca="false">IF($A259="","",SUM(K259:N259))</f>
        <v/>
      </c>
      <c r="U259" s="22" t="str">
        <f aca="false">IF($A259="","",SUM(P259:S259))</f>
        <v/>
      </c>
      <c r="V259" s="22" t="str">
        <f aca="false">IF($A259="","",U259-T259)</f>
        <v/>
      </c>
      <c r="W259" s="23" t="str">
        <f aca="false">IF(OR($A259="",N(T259)=0),"",V259/T259)</f>
        <v/>
      </c>
      <c r="X259" s="18"/>
      <c r="Y259" s="18"/>
    </row>
    <row r="260" customFormat="false" ht="15" hidden="false" customHeight="false" outlineLevel="0" collapsed="false">
      <c r="A260" s="18"/>
      <c r="B260" s="18"/>
      <c r="C260" s="18"/>
      <c r="D260" s="18"/>
      <c r="E260" s="18"/>
      <c r="F260" s="18"/>
      <c r="G260" s="18"/>
      <c r="H260" s="19"/>
      <c r="I260" s="18"/>
      <c r="J260" s="18"/>
      <c r="K260" s="20"/>
      <c r="L260" s="20"/>
      <c r="M260" s="20"/>
      <c r="N260" s="20"/>
      <c r="O260" s="21"/>
      <c r="P260" s="22" t="n">
        <f aca="false">IF(OR($A260="",N(K260)=0),0,CEILING(K260*(1+IF($O260="",Taux_Compta,$O260))-0.005,Pas_Arrondi))</f>
        <v>0</v>
      </c>
      <c r="Q260" s="22" t="n">
        <f aca="false">IF(OR($A260="",N(L260)=0),0,CEILING(L260*(1+IF($O260="",Taux_Paye,$O260))-0.005,Pas_Arrondi))</f>
        <v>0</v>
      </c>
      <c r="R260" s="22" t="n">
        <f aca="false">IF(OR($A260="",N(M260)=0),0,CEILING(M260*(1+IF($O260="",Taux_Jur,$O260))-0.005,Pas_Arrondi))</f>
        <v>0</v>
      </c>
      <c r="S260" s="22" t="n">
        <f aca="false">IF(OR($A260="",N(N260)=0),0,CEILING(N260*(1+IF($O260="",Taux_PA,$O260))-0.005,Pas_Arrondi))</f>
        <v>0</v>
      </c>
      <c r="T260" s="22" t="str">
        <f aca="false">IF($A260="","",SUM(K260:N260))</f>
        <v/>
      </c>
      <c r="U260" s="22" t="str">
        <f aca="false">IF($A260="","",SUM(P260:S260))</f>
        <v/>
      </c>
      <c r="V260" s="22" t="str">
        <f aca="false">IF($A260="","",U260-T260)</f>
        <v/>
      </c>
      <c r="W260" s="23" t="str">
        <f aca="false">IF(OR($A260="",N(T260)=0),"",V260/T260)</f>
        <v/>
      </c>
      <c r="X260" s="18"/>
      <c r="Y260" s="18"/>
    </row>
    <row r="261" customFormat="false" ht="15" hidden="false" customHeight="false" outlineLevel="0" collapsed="false">
      <c r="A261" s="18"/>
      <c r="B261" s="18"/>
      <c r="C261" s="18"/>
      <c r="D261" s="18"/>
      <c r="E261" s="18"/>
      <c r="F261" s="18"/>
      <c r="G261" s="18"/>
      <c r="H261" s="19"/>
      <c r="I261" s="18"/>
      <c r="J261" s="18"/>
      <c r="K261" s="20"/>
      <c r="L261" s="20"/>
      <c r="M261" s="20"/>
      <c r="N261" s="20"/>
      <c r="O261" s="21"/>
      <c r="P261" s="22" t="n">
        <f aca="false">IF(OR($A261="",N(K261)=0),0,CEILING(K261*(1+IF($O261="",Taux_Compta,$O261))-0.005,Pas_Arrondi))</f>
        <v>0</v>
      </c>
      <c r="Q261" s="22" t="n">
        <f aca="false">IF(OR($A261="",N(L261)=0),0,CEILING(L261*(1+IF($O261="",Taux_Paye,$O261))-0.005,Pas_Arrondi))</f>
        <v>0</v>
      </c>
      <c r="R261" s="22" t="n">
        <f aca="false">IF(OR($A261="",N(M261)=0),0,CEILING(M261*(1+IF($O261="",Taux_Jur,$O261))-0.005,Pas_Arrondi))</f>
        <v>0</v>
      </c>
      <c r="S261" s="22" t="n">
        <f aca="false">IF(OR($A261="",N(N261)=0),0,CEILING(N261*(1+IF($O261="",Taux_PA,$O261))-0.005,Pas_Arrondi))</f>
        <v>0</v>
      </c>
      <c r="T261" s="22" t="str">
        <f aca="false">IF($A261="","",SUM(K261:N261))</f>
        <v/>
      </c>
      <c r="U261" s="22" t="str">
        <f aca="false">IF($A261="","",SUM(P261:S261))</f>
        <v/>
      </c>
      <c r="V261" s="22" t="str">
        <f aca="false">IF($A261="","",U261-T261)</f>
        <v/>
      </c>
      <c r="W261" s="23" t="str">
        <f aca="false">IF(OR($A261="",N(T261)=0),"",V261/T261)</f>
        <v/>
      </c>
      <c r="X261" s="18"/>
      <c r="Y261" s="18"/>
    </row>
    <row r="262" customFormat="false" ht="15" hidden="false" customHeight="false" outlineLevel="0" collapsed="false">
      <c r="A262" s="18"/>
      <c r="B262" s="18"/>
      <c r="C262" s="18"/>
      <c r="D262" s="18"/>
      <c r="E262" s="18"/>
      <c r="F262" s="18"/>
      <c r="G262" s="18"/>
      <c r="H262" s="19"/>
      <c r="I262" s="18"/>
      <c r="J262" s="18"/>
      <c r="K262" s="20"/>
      <c r="L262" s="20"/>
      <c r="M262" s="20"/>
      <c r="N262" s="20"/>
      <c r="O262" s="21"/>
      <c r="P262" s="22" t="n">
        <f aca="false">IF(OR($A262="",N(K262)=0),0,CEILING(K262*(1+IF($O262="",Taux_Compta,$O262))-0.005,Pas_Arrondi))</f>
        <v>0</v>
      </c>
      <c r="Q262" s="22" t="n">
        <f aca="false">IF(OR($A262="",N(L262)=0),0,CEILING(L262*(1+IF($O262="",Taux_Paye,$O262))-0.005,Pas_Arrondi))</f>
        <v>0</v>
      </c>
      <c r="R262" s="22" t="n">
        <f aca="false">IF(OR($A262="",N(M262)=0),0,CEILING(M262*(1+IF($O262="",Taux_Jur,$O262))-0.005,Pas_Arrondi))</f>
        <v>0</v>
      </c>
      <c r="S262" s="22" t="n">
        <f aca="false">IF(OR($A262="",N(N262)=0),0,CEILING(N262*(1+IF($O262="",Taux_PA,$O262))-0.005,Pas_Arrondi))</f>
        <v>0</v>
      </c>
      <c r="T262" s="22" t="str">
        <f aca="false">IF($A262="","",SUM(K262:N262))</f>
        <v/>
      </c>
      <c r="U262" s="22" t="str">
        <f aca="false">IF($A262="","",SUM(P262:S262))</f>
        <v/>
      </c>
      <c r="V262" s="22" t="str">
        <f aca="false">IF($A262="","",U262-T262)</f>
        <v/>
      </c>
      <c r="W262" s="23" t="str">
        <f aca="false">IF(OR($A262="",N(T262)=0),"",V262/T262)</f>
        <v/>
      </c>
      <c r="X262" s="18"/>
      <c r="Y262" s="18"/>
    </row>
    <row r="263" customFormat="false" ht="15" hidden="false" customHeight="false" outlineLevel="0" collapsed="false">
      <c r="A263" s="18"/>
      <c r="B263" s="18"/>
      <c r="C263" s="18"/>
      <c r="D263" s="18"/>
      <c r="E263" s="18"/>
      <c r="F263" s="18"/>
      <c r="G263" s="18"/>
      <c r="H263" s="19"/>
      <c r="I263" s="18"/>
      <c r="J263" s="18"/>
      <c r="K263" s="20"/>
      <c r="L263" s="20"/>
      <c r="M263" s="20"/>
      <c r="N263" s="20"/>
      <c r="O263" s="21"/>
      <c r="P263" s="22" t="n">
        <f aca="false">IF(OR($A263="",N(K263)=0),0,CEILING(K263*(1+IF($O263="",Taux_Compta,$O263))-0.005,Pas_Arrondi))</f>
        <v>0</v>
      </c>
      <c r="Q263" s="22" t="n">
        <f aca="false">IF(OR($A263="",N(L263)=0),0,CEILING(L263*(1+IF($O263="",Taux_Paye,$O263))-0.005,Pas_Arrondi))</f>
        <v>0</v>
      </c>
      <c r="R263" s="22" t="n">
        <f aca="false">IF(OR($A263="",N(M263)=0),0,CEILING(M263*(1+IF($O263="",Taux_Jur,$O263))-0.005,Pas_Arrondi))</f>
        <v>0</v>
      </c>
      <c r="S263" s="22" t="n">
        <f aca="false">IF(OR($A263="",N(N263)=0),0,CEILING(N263*(1+IF($O263="",Taux_PA,$O263))-0.005,Pas_Arrondi))</f>
        <v>0</v>
      </c>
      <c r="T263" s="22" t="str">
        <f aca="false">IF($A263="","",SUM(K263:N263))</f>
        <v/>
      </c>
      <c r="U263" s="22" t="str">
        <f aca="false">IF($A263="","",SUM(P263:S263))</f>
        <v/>
      </c>
      <c r="V263" s="22" t="str">
        <f aca="false">IF($A263="","",U263-T263)</f>
        <v/>
      </c>
      <c r="W263" s="23" t="str">
        <f aca="false">IF(OR($A263="",N(T263)=0),"",V263/T263)</f>
        <v/>
      </c>
      <c r="X263" s="18"/>
      <c r="Y263" s="18"/>
    </row>
    <row r="264" customFormat="false" ht="15" hidden="false" customHeight="false" outlineLevel="0" collapsed="false">
      <c r="A264" s="18"/>
      <c r="B264" s="18"/>
      <c r="C264" s="18"/>
      <c r="D264" s="18"/>
      <c r="E264" s="18"/>
      <c r="F264" s="18"/>
      <c r="G264" s="18"/>
      <c r="H264" s="19"/>
      <c r="I264" s="18"/>
      <c r="J264" s="18"/>
      <c r="K264" s="20"/>
      <c r="L264" s="20"/>
      <c r="M264" s="20"/>
      <c r="N264" s="20"/>
      <c r="O264" s="21"/>
      <c r="P264" s="22" t="n">
        <f aca="false">IF(OR($A264="",N(K264)=0),0,CEILING(K264*(1+IF($O264="",Taux_Compta,$O264))-0.005,Pas_Arrondi))</f>
        <v>0</v>
      </c>
      <c r="Q264" s="22" t="n">
        <f aca="false">IF(OR($A264="",N(L264)=0),0,CEILING(L264*(1+IF($O264="",Taux_Paye,$O264))-0.005,Pas_Arrondi))</f>
        <v>0</v>
      </c>
      <c r="R264" s="22" t="n">
        <f aca="false">IF(OR($A264="",N(M264)=0),0,CEILING(M264*(1+IF($O264="",Taux_Jur,$O264))-0.005,Pas_Arrondi))</f>
        <v>0</v>
      </c>
      <c r="S264" s="22" t="n">
        <f aca="false">IF(OR($A264="",N(N264)=0),0,CEILING(N264*(1+IF($O264="",Taux_PA,$O264))-0.005,Pas_Arrondi))</f>
        <v>0</v>
      </c>
      <c r="T264" s="22" t="str">
        <f aca="false">IF($A264="","",SUM(K264:N264))</f>
        <v/>
      </c>
      <c r="U264" s="22" t="str">
        <f aca="false">IF($A264="","",SUM(P264:S264))</f>
        <v/>
      </c>
      <c r="V264" s="22" t="str">
        <f aca="false">IF($A264="","",U264-T264)</f>
        <v/>
      </c>
      <c r="W264" s="23" t="str">
        <f aca="false">IF(OR($A264="",N(T264)=0),"",V264/T264)</f>
        <v/>
      </c>
      <c r="X264" s="18"/>
      <c r="Y264" s="18"/>
    </row>
    <row r="265" customFormat="false" ht="15" hidden="false" customHeight="false" outlineLevel="0" collapsed="false">
      <c r="A265" s="18"/>
      <c r="B265" s="18"/>
      <c r="C265" s="18"/>
      <c r="D265" s="18"/>
      <c r="E265" s="18"/>
      <c r="F265" s="18"/>
      <c r="G265" s="18"/>
      <c r="H265" s="19"/>
      <c r="I265" s="18"/>
      <c r="J265" s="18"/>
      <c r="K265" s="20"/>
      <c r="L265" s="20"/>
      <c r="M265" s="20"/>
      <c r="N265" s="20"/>
      <c r="O265" s="21"/>
      <c r="P265" s="22" t="n">
        <f aca="false">IF(OR($A265="",N(K265)=0),0,CEILING(K265*(1+IF($O265="",Taux_Compta,$O265))-0.005,Pas_Arrondi))</f>
        <v>0</v>
      </c>
      <c r="Q265" s="22" t="n">
        <f aca="false">IF(OR($A265="",N(L265)=0),0,CEILING(L265*(1+IF($O265="",Taux_Paye,$O265))-0.005,Pas_Arrondi))</f>
        <v>0</v>
      </c>
      <c r="R265" s="22" t="n">
        <f aca="false">IF(OR($A265="",N(M265)=0),0,CEILING(M265*(1+IF($O265="",Taux_Jur,$O265))-0.005,Pas_Arrondi))</f>
        <v>0</v>
      </c>
      <c r="S265" s="22" t="n">
        <f aca="false">IF(OR($A265="",N(N265)=0),0,CEILING(N265*(1+IF($O265="",Taux_PA,$O265))-0.005,Pas_Arrondi))</f>
        <v>0</v>
      </c>
      <c r="T265" s="22" t="str">
        <f aca="false">IF($A265="","",SUM(K265:N265))</f>
        <v/>
      </c>
      <c r="U265" s="22" t="str">
        <f aca="false">IF($A265="","",SUM(P265:S265))</f>
        <v/>
      </c>
      <c r="V265" s="22" t="str">
        <f aca="false">IF($A265="","",U265-T265)</f>
        <v/>
      </c>
      <c r="W265" s="23" t="str">
        <f aca="false">IF(OR($A265="",N(T265)=0),"",V265/T265)</f>
        <v/>
      </c>
      <c r="X265" s="18"/>
      <c r="Y265" s="18"/>
    </row>
    <row r="266" customFormat="false" ht="15" hidden="false" customHeight="false" outlineLevel="0" collapsed="false">
      <c r="A266" s="18"/>
      <c r="B266" s="18"/>
      <c r="C266" s="18"/>
      <c r="D266" s="18"/>
      <c r="E266" s="18"/>
      <c r="F266" s="18"/>
      <c r="G266" s="18"/>
      <c r="H266" s="19"/>
      <c r="I266" s="18"/>
      <c r="J266" s="18"/>
      <c r="K266" s="20"/>
      <c r="L266" s="20"/>
      <c r="M266" s="20"/>
      <c r="N266" s="20"/>
      <c r="O266" s="21"/>
      <c r="P266" s="22" t="n">
        <f aca="false">IF(OR($A266="",N(K266)=0),0,CEILING(K266*(1+IF($O266="",Taux_Compta,$O266))-0.005,Pas_Arrondi))</f>
        <v>0</v>
      </c>
      <c r="Q266" s="22" t="n">
        <f aca="false">IF(OR($A266="",N(L266)=0),0,CEILING(L266*(1+IF($O266="",Taux_Paye,$O266))-0.005,Pas_Arrondi))</f>
        <v>0</v>
      </c>
      <c r="R266" s="22" t="n">
        <f aca="false">IF(OR($A266="",N(M266)=0),0,CEILING(M266*(1+IF($O266="",Taux_Jur,$O266))-0.005,Pas_Arrondi))</f>
        <v>0</v>
      </c>
      <c r="S266" s="22" t="n">
        <f aca="false">IF(OR($A266="",N(N266)=0),0,CEILING(N266*(1+IF($O266="",Taux_PA,$O266))-0.005,Pas_Arrondi))</f>
        <v>0</v>
      </c>
      <c r="T266" s="22" t="str">
        <f aca="false">IF($A266="","",SUM(K266:N266))</f>
        <v/>
      </c>
      <c r="U266" s="22" t="str">
        <f aca="false">IF($A266="","",SUM(P266:S266))</f>
        <v/>
      </c>
      <c r="V266" s="22" t="str">
        <f aca="false">IF($A266="","",U266-T266)</f>
        <v/>
      </c>
      <c r="W266" s="23" t="str">
        <f aca="false">IF(OR($A266="",N(T266)=0),"",V266/T266)</f>
        <v/>
      </c>
      <c r="X266" s="18"/>
      <c r="Y266" s="18"/>
    </row>
    <row r="267" customFormat="false" ht="15" hidden="false" customHeight="false" outlineLevel="0" collapsed="false">
      <c r="A267" s="18"/>
      <c r="B267" s="18"/>
      <c r="C267" s="18"/>
      <c r="D267" s="18"/>
      <c r="E267" s="18"/>
      <c r="F267" s="18"/>
      <c r="G267" s="18"/>
      <c r="H267" s="19"/>
      <c r="I267" s="18"/>
      <c r="J267" s="18"/>
      <c r="K267" s="20"/>
      <c r="L267" s="20"/>
      <c r="M267" s="20"/>
      <c r="N267" s="20"/>
      <c r="O267" s="21"/>
      <c r="P267" s="22" t="n">
        <f aca="false">IF(OR($A267="",N(K267)=0),0,CEILING(K267*(1+IF($O267="",Taux_Compta,$O267))-0.005,Pas_Arrondi))</f>
        <v>0</v>
      </c>
      <c r="Q267" s="22" t="n">
        <f aca="false">IF(OR($A267="",N(L267)=0),0,CEILING(L267*(1+IF($O267="",Taux_Paye,$O267))-0.005,Pas_Arrondi))</f>
        <v>0</v>
      </c>
      <c r="R267" s="22" t="n">
        <f aca="false">IF(OR($A267="",N(M267)=0),0,CEILING(M267*(1+IF($O267="",Taux_Jur,$O267))-0.005,Pas_Arrondi))</f>
        <v>0</v>
      </c>
      <c r="S267" s="22" t="n">
        <f aca="false">IF(OR($A267="",N(N267)=0),0,CEILING(N267*(1+IF($O267="",Taux_PA,$O267))-0.005,Pas_Arrondi))</f>
        <v>0</v>
      </c>
      <c r="T267" s="22" t="str">
        <f aca="false">IF($A267="","",SUM(K267:N267))</f>
        <v/>
      </c>
      <c r="U267" s="22" t="str">
        <f aca="false">IF($A267="","",SUM(P267:S267))</f>
        <v/>
      </c>
      <c r="V267" s="22" t="str">
        <f aca="false">IF($A267="","",U267-T267)</f>
        <v/>
      </c>
      <c r="W267" s="23" t="str">
        <f aca="false">IF(OR($A267="",N(T267)=0),"",V267/T267)</f>
        <v/>
      </c>
      <c r="X267" s="18"/>
      <c r="Y267" s="18"/>
    </row>
    <row r="268" customFormat="false" ht="15" hidden="false" customHeight="false" outlineLevel="0" collapsed="false">
      <c r="A268" s="18"/>
      <c r="B268" s="18"/>
      <c r="C268" s="18"/>
      <c r="D268" s="18"/>
      <c r="E268" s="18"/>
      <c r="F268" s="18"/>
      <c r="G268" s="18"/>
      <c r="H268" s="19"/>
      <c r="I268" s="18"/>
      <c r="J268" s="18"/>
      <c r="K268" s="20"/>
      <c r="L268" s="20"/>
      <c r="M268" s="20"/>
      <c r="N268" s="20"/>
      <c r="O268" s="21"/>
      <c r="P268" s="22" t="n">
        <f aca="false">IF(OR($A268="",N(K268)=0),0,CEILING(K268*(1+IF($O268="",Taux_Compta,$O268))-0.005,Pas_Arrondi))</f>
        <v>0</v>
      </c>
      <c r="Q268" s="22" t="n">
        <f aca="false">IF(OR($A268="",N(L268)=0),0,CEILING(L268*(1+IF($O268="",Taux_Paye,$O268))-0.005,Pas_Arrondi))</f>
        <v>0</v>
      </c>
      <c r="R268" s="22" t="n">
        <f aca="false">IF(OR($A268="",N(M268)=0),0,CEILING(M268*(1+IF($O268="",Taux_Jur,$O268))-0.005,Pas_Arrondi))</f>
        <v>0</v>
      </c>
      <c r="S268" s="22" t="n">
        <f aca="false">IF(OR($A268="",N(N268)=0),0,CEILING(N268*(1+IF($O268="",Taux_PA,$O268))-0.005,Pas_Arrondi))</f>
        <v>0</v>
      </c>
      <c r="T268" s="22" t="str">
        <f aca="false">IF($A268="","",SUM(K268:N268))</f>
        <v/>
      </c>
      <c r="U268" s="22" t="str">
        <f aca="false">IF($A268="","",SUM(P268:S268))</f>
        <v/>
      </c>
      <c r="V268" s="22" t="str">
        <f aca="false">IF($A268="","",U268-T268)</f>
        <v/>
      </c>
      <c r="W268" s="23" t="str">
        <f aca="false">IF(OR($A268="",N(T268)=0),"",V268/T268)</f>
        <v/>
      </c>
      <c r="X268" s="18"/>
      <c r="Y268" s="18"/>
    </row>
    <row r="269" customFormat="false" ht="15" hidden="false" customHeight="false" outlineLevel="0" collapsed="false">
      <c r="A269" s="18"/>
      <c r="B269" s="18"/>
      <c r="C269" s="18"/>
      <c r="D269" s="18"/>
      <c r="E269" s="18"/>
      <c r="F269" s="18"/>
      <c r="G269" s="18"/>
      <c r="H269" s="19"/>
      <c r="I269" s="18"/>
      <c r="J269" s="18"/>
      <c r="K269" s="20"/>
      <c r="L269" s="20"/>
      <c r="M269" s="20"/>
      <c r="N269" s="20"/>
      <c r="O269" s="21"/>
      <c r="P269" s="22" t="n">
        <f aca="false">IF(OR($A269="",N(K269)=0),0,CEILING(K269*(1+IF($O269="",Taux_Compta,$O269))-0.005,Pas_Arrondi))</f>
        <v>0</v>
      </c>
      <c r="Q269" s="22" t="n">
        <f aca="false">IF(OR($A269="",N(L269)=0),0,CEILING(L269*(1+IF($O269="",Taux_Paye,$O269))-0.005,Pas_Arrondi))</f>
        <v>0</v>
      </c>
      <c r="R269" s="22" t="n">
        <f aca="false">IF(OR($A269="",N(M269)=0),0,CEILING(M269*(1+IF($O269="",Taux_Jur,$O269))-0.005,Pas_Arrondi))</f>
        <v>0</v>
      </c>
      <c r="S269" s="22" t="n">
        <f aca="false">IF(OR($A269="",N(N269)=0),0,CEILING(N269*(1+IF($O269="",Taux_PA,$O269))-0.005,Pas_Arrondi))</f>
        <v>0</v>
      </c>
      <c r="T269" s="22" t="str">
        <f aca="false">IF($A269="","",SUM(K269:N269))</f>
        <v/>
      </c>
      <c r="U269" s="22" t="str">
        <f aca="false">IF($A269="","",SUM(P269:S269))</f>
        <v/>
      </c>
      <c r="V269" s="22" t="str">
        <f aca="false">IF($A269="","",U269-T269)</f>
        <v/>
      </c>
      <c r="W269" s="23" t="str">
        <f aca="false">IF(OR($A269="",N(T269)=0),"",V269/T269)</f>
        <v/>
      </c>
      <c r="X269" s="18"/>
      <c r="Y269" s="18"/>
    </row>
    <row r="270" customFormat="false" ht="15" hidden="false" customHeight="false" outlineLevel="0" collapsed="false">
      <c r="A270" s="18"/>
      <c r="B270" s="18"/>
      <c r="C270" s="18"/>
      <c r="D270" s="18"/>
      <c r="E270" s="18"/>
      <c r="F270" s="18"/>
      <c r="G270" s="18"/>
      <c r="H270" s="19"/>
      <c r="I270" s="18"/>
      <c r="J270" s="18"/>
      <c r="K270" s="20"/>
      <c r="L270" s="20"/>
      <c r="M270" s="20"/>
      <c r="N270" s="20"/>
      <c r="O270" s="21"/>
      <c r="P270" s="22" t="n">
        <f aca="false">IF(OR($A270="",N(K270)=0),0,CEILING(K270*(1+IF($O270="",Taux_Compta,$O270))-0.005,Pas_Arrondi))</f>
        <v>0</v>
      </c>
      <c r="Q270" s="22" t="n">
        <f aca="false">IF(OR($A270="",N(L270)=0),0,CEILING(L270*(1+IF($O270="",Taux_Paye,$O270))-0.005,Pas_Arrondi))</f>
        <v>0</v>
      </c>
      <c r="R270" s="22" t="n">
        <f aca="false">IF(OR($A270="",N(M270)=0),0,CEILING(M270*(1+IF($O270="",Taux_Jur,$O270))-0.005,Pas_Arrondi))</f>
        <v>0</v>
      </c>
      <c r="S270" s="22" t="n">
        <f aca="false">IF(OR($A270="",N(N270)=0),0,CEILING(N270*(1+IF($O270="",Taux_PA,$O270))-0.005,Pas_Arrondi))</f>
        <v>0</v>
      </c>
      <c r="T270" s="22" t="str">
        <f aca="false">IF($A270="","",SUM(K270:N270))</f>
        <v/>
      </c>
      <c r="U270" s="22" t="str">
        <f aca="false">IF($A270="","",SUM(P270:S270))</f>
        <v/>
      </c>
      <c r="V270" s="22" t="str">
        <f aca="false">IF($A270="","",U270-T270)</f>
        <v/>
      </c>
      <c r="W270" s="23" t="str">
        <f aca="false">IF(OR($A270="",N(T270)=0),"",V270/T270)</f>
        <v/>
      </c>
      <c r="X270" s="18"/>
      <c r="Y270" s="18"/>
    </row>
    <row r="271" customFormat="false" ht="15" hidden="false" customHeight="false" outlineLevel="0" collapsed="false">
      <c r="A271" s="18"/>
      <c r="B271" s="18"/>
      <c r="C271" s="18"/>
      <c r="D271" s="18"/>
      <c r="E271" s="18"/>
      <c r="F271" s="18"/>
      <c r="G271" s="18"/>
      <c r="H271" s="19"/>
      <c r="I271" s="18"/>
      <c r="J271" s="18"/>
      <c r="K271" s="20"/>
      <c r="L271" s="20"/>
      <c r="M271" s="20"/>
      <c r="N271" s="20"/>
      <c r="O271" s="21"/>
      <c r="P271" s="22" t="n">
        <f aca="false">IF(OR($A271="",N(K271)=0),0,CEILING(K271*(1+IF($O271="",Taux_Compta,$O271))-0.005,Pas_Arrondi))</f>
        <v>0</v>
      </c>
      <c r="Q271" s="22" t="n">
        <f aca="false">IF(OR($A271="",N(L271)=0),0,CEILING(L271*(1+IF($O271="",Taux_Paye,$O271))-0.005,Pas_Arrondi))</f>
        <v>0</v>
      </c>
      <c r="R271" s="22" t="n">
        <f aca="false">IF(OR($A271="",N(M271)=0),0,CEILING(M271*(1+IF($O271="",Taux_Jur,$O271))-0.005,Pas_Arrondi))</f>
        <v>0</v>
      </c>
      <c r="S271" s="22" t="n">
        <f aca="false">IF(OR($A271="",N(N271)=0),0,CEILING(N271*(1+IF($O271="",Taux_PA,$O271))-0.005,Pas_Arrondi))</f>
        <v>0</v>
      </c>
      <c r="T271" s="22" t="str">
        <f aca="false">IF($A271="","",SUM(K271:N271))</f>
        <v/>
      </c>
      <c r="U271" s="22" t="str">
        <f aca="false">IF($A271="","",SUM(P271:S271))</f>
        <v/>
      </c>
      <c r="V271" s="22" t="str">
        <f aca="false">IF($A271="","",U271-T271)</f>
        <v/>
      </c>
      <c r="W271" s="23" t="str">
        <f aca="false">IF(OR($A271="",N(T271)=0),"",V271/T271)</f>
        <v/>
      </c>
      <c r="X271" s="18"/>
      <c r="Y271" s="18"/>
    </row>
    <row r="272" customFormat="false" ht="15" hidden="false" customHeight="false" outlineLevel="0" collapsed="false">
      <c r="A272" s="18"/>
      <c r="B272" s="18"/>
      <c r="C272" s="18"/>
      <c r="D272" s="18"/>
      <c r="E272" s="18"/>
      <c r="F272" s="18"/>
      <c r="G272" s="18"/>
      <c r="H272" s="19"/>
      <c r="I272" s="18"/>
      <c r="J272" s="18"/>
      <c r="K272" s="20"/>
      <c r="L272" s="20"/>
      <c r="M272" s="20"/>
      <c r="N272" s="20"/>
      <c r="O272" s="21"/>
      <c r="P272" s="22" t="n">
        <f aca="false">IF(OR($A272="",N(K272)=0),0,CEILING(K272*(1+IF($O272="",Taux_Compta,$O272))-0.005,Pas_Arrondi))</f>
        <v>0</v>
      </c>
      <c r="Q272" s="22" t="n">
        <f aca="false">IF(OR($A272="",N(L272)=0),0,CEILING(L272*(1+IF($O272="",Taux_Paye,$O272))-0.005,Pas_Arrondi))</f>
        <v>0</v>
      </c>
      <c r="R272" s="22" t="n">
        <f aca="false">IF(OR($A272="",N(M272)=0),0,CEILING(M272*(1+IF($O272="",Taux_Jur,$O272))-0.005,Pas_Arrondi))</f>
        <v>0</v>
      </c>
      <c r="S272" s="22" t="n">
        <f aca="false">IF(OR($A272="",N(N272)=0),0,CEILING(N272*(1+IF($O272="",Taux_PA,$O272))-0.005,Pas_Arrondi))</f>
        <v>0</v>
      </c>
      <c r="T272" s="22" t="str">
        <f aca="false">IF($A272="","",SUM(K272:N272))</f>
        <v/>
      </c>
      <c r="U272" s="22" t="str">
        <f aca="false">IF($A272="","",SUM(P272:S272))</f>
        <v/>
      </c>
      <c r="V272" s="22" t="str">
        <f aca="false">IF($A272="","",U272-T272)</f>
        <v/>
      </c>
      <c r="W272" s="23" t="str">
        <f aca="false">IF(OR($A272="",N(T272)=0),"",V272/T272)</f>
        <v/>
      </c>
      <c r="X272" s="18"/>
      <c r="Y272" s="18"/>
    </row>
    <row r="273" customFormat="false" ht="15" hidden="false" customHeight="false" outlineLevel="0" collapsed="false">
      <c r="A273" s="18"/>
      <c r="B273" s="18"/>
      <c r="C273" s="18"/>
      <c r="D273" s="18"/>
      <c r="E273" s="18"/>
      <c r="F273" s="18"/>
      <c r="G273" s="18"/>
      <c r="H273" s="19"/>
      <c r="I273" s="18"/>
      <c r="J273" s="18"/>
      <c r="K273" s="20"/>
      <c r="L273" s="20"/>
      <c r="M273" s="20"/>
      <c r="N273" s="20"/>
      <c r="O273" s="21"/>
      <c r="P273" s="22" t="n">
        <f aca="false">IF(OR($A273="",N(K273)=0),0,CEILING(K273*(1+IF($O273="",Taux_Compta,$O273))-0.005,Pas_Arrondi))</f>
        <v>0</v>
      </c>
      <c r="Q273" s="22" t="n">
        <f aca="false">IF(OR($A273="",N(L273)=0),0,CEILING(L273*(1+IF($O273="",Taux_Paye,$O273))-0.005,Pas_Arrondi))</f>
        <v>0</v>
      </c>
      <c r="R273" s="22" t="n">
        <f aca="false">IF(OR($A273="",N(M273)=0),0,CEILING(M273*(1+IF($O273="",Taux_Jur,$O273))-0.005,Pas_Arrondi))</f>
        <v>0</v>
      </c>
      <c r="S273" s="22" t="n">
        <f aca="false">IF(OR($A273="",N(N273)=0),0,CEILING(N273*(1+IF($O273="",Taux_PA,$O273))-0.005,Pas_Arrondi))</f>
        <v>0</v>
      </c>
      <c r="T273" s="22" t="str">
        <f aca="false">IF($A273="","",SUM(K273:N273))</f>
        <v/>
      </c>
      <c r="U273" s="22" t="str">
        <f aca="false">IF($A273="","",SUM(P273:S273))</f>
        <v/>
      </c>
      <c r="V273" s="22" t="str">
        <f aca="false">IF($A273="","",U273-T273)</f>
        <v/>
      </c>
      <c r="W273" s="23" t="str">
        <f aca="false">IF(OR($A273="",N(T273)=0),"",V273/T273)</f>
        <v/>
      </c>
      <c r="X273" s="18"/>
      <c r="Y273" s="18"/>
    </row>
    <row r="274" customFormat="false" ht="15" hidden="false" customHeight="false" outlineLevel="0" collapsed="false">
      <c r="A274" s="18"/>
      <c r="B274" s="18"/>
      <c r="C274" s="18"/>
      <c r="D274" s="18"/>
      <c r="E274" s="18"/>
      <c r="F274" s="18"/>
      <c r="G274" s="18"/>
      <c r="H274" s="19"/>
      <c r="I274" s="18"/>
      <c r="J274" s="18"/>
      <c r="K274" s="20"/>
      <c r="L274" s="20"/>
      <c r="M274" s="20"/>
      <c r="N274" s="20"/>
      <c r="O274" s="21"/>
      <c r="P274" s="22" t="n">
        <f aca="false">IF(OR($A274="",N(K274)=0),0,CEILING(K274*(1+IF($O274="",Taux_Compta,$O274))-0.005,Pas_Arrondi))</f>
        <v>0</v>
      </c>
      <c r="Q274" s="22" t="n">
        <f aca="false">IF(OR($A274="",N(L274)=0),0,CEILING(L274*(1+IF($O274="",Taux_Paye,$O274))-0.005,Pas_Arrondi))</f>
        <v>0</v>
      </c>
      <c r="R274" s="22" t="n">
        <f aca="false">IF(OR($A274="",N(M274)=0),0,CEILING(M274*(1+IF($O274="",Taux_Jur,$O274))-0.005,Pas_Arrondi))</f>
        <v>0</v>
      </c>
      <c r="S274" s="22" t="n">
        <f aca="false">IF(OR($A274="",N(N274)=0),0,CEILING(N274*(1+IF($O274="",Taux_PA,$O274))-0.005,Pas_Arrondi))</f>
        <v>0</v>
      </c>
      <c r="T274" s="22" t="str">
        <f aca="false">IF($A274="","",SUM(K274:N274))</f>
        <v/>
      </c>
      <c r="U274" s="22" t="str">
        <f aca="false">IF($A274="","",SUM(P274:S274))</f>
        <v/>
      </c>
      <c r="V274" s="22" t="str">
        <f aca="false">IF($A274="","",U274-T274)</f>
        <v/>
      </c>
      <c r="W274" s="23" t="str">
        <f aca="false">IF(OR($A274="",N(T274)=0),"",V274/T274)</f>
        <v/>
      </c>
      <c r="X274" s="18"/>
      <c r="Y274" s="18"/>
    </row>
    <row r="275" customFormat="false" ht="15" hidden="false" customHeight="false" outlineLevel="0" collapsed="false">
      <c r="A275" s="18"/>
      <c r="B275" s="18"/>
      <c r="C275" s="18"/>
      <c r="D275" s="18"/>
      <c r="E275" s="18"/>
      <c r="F275" s="18"/>
      <c r="G275" s="18"/>
      <c r="H275" s="19"/>
      <c r="I275" s="18"/>
      <c r="J275" s="18"/>
      <c r="K275" s="20"/>
      <c r="L275" s="20"/>
      <c r="M275" s="20"/>
      <c r="N275" s="20"/>
      <c r="O275" s="21"/>
      <c r="P275" s="22" t="n">
        <f aca="false">IF(OR($A275="",N(K275)=0),0,CEILING(K275*(1+IF($O275="",Taux_Compta,$O275))-0.005,Pas_Arrondi))</f>
        <v>0</v>
      </c>
      <c r="Q275" s="22" t="n">
        <f aca="false">IF(OR($A275="",N(L275)=0),0,CEILING(L275*(1+IF($O275="",Taux_Paye,$O275))-0.005,Pas_Arrondi))</f>
        <v>0</v>
      </c>
      <c r="R275" s="22" t="n">
        <f aca="false">IF(OR($A275="",N(M275)=0),0,CEILING(M275*(1+IF($O275="",Taux_Jur,$O275))-0.005,Pas_Arrondi))</f>
        <v>0</v>
      </c>
      <c r="S275" s="22" t="n">
        <f aca="false">IF(OR($A275="",N(N275)=0),0,CEILING(N275*(1+IF($O275="",Taux_PA,$O275))-0.005,Pas_Arrondi))</f>
        <v>0</v>
      </c>
      <c r="T275" s="22" t="str">
        <f aca="false">IF($A275="","",SUM(K275:N275))</f>
        <v/>
      </c>
      <c r="U275" s="22" t="str">
        <f aca="false">IF($A275="","",SUM(P275:S275))</f>
        <v/>
      </c>
      <c r="V275" s="22" t="str">
        <f aca="false">IF($A275="","",U275-T275)</f>
        <v/>
      </c>
      <c r="W275" s="23" t="str">
        <f aca="false">IF(OR($A275="",N(T275)=0),"",V275/T275)</f>
        <v/>
      </c>
      <c r="X275" s="18"/>
      <c r="Y275" s="18"/>
    </row>
    <row r="276" customFormat="false" ht="15" hidden="false" customHeight="false" outlineLevel="0" collapsed="false">
      <c r="A276" s="18"/>
      <c r="B276" s="18"/>
      <c r="C276" s="18"/>
      <c r="D276" s="18"/>
      <c r="E276" s="18"/>
      <c r="F276" s="18"/>
      <c r="G276" s="18"/>
      <c r="H276" s="19"/>
      <c r="I276" s="18"/>
      <c r="J276" s="18"/>
      <c r="K276" s="20"/>
      <c r="L276" s="20"/>
      <c r="M276" s="20"/>
      <c r="N276" s="20"/>
      <c r="O276" s="21"/>
      <c r="P276" s="22" t="n">
        <f aca="false">IF(OR($A276="",N(K276)=0),0,CEILING(K276*(1+IF($O276="",Taux_Compta,$O276))-0.005,Pas_Arrondi))</f>
        <v>0</v>
      </c>
      <c r="Q276" s="22" t="n">
        <f aca="false">IF(OR($A276="",N(L276)=0),0,CEILING(L276*(1+IF($O276="",Taux_Paye,$O276))-0.005,Pas_Arrondi))</f>
        <v>0</v>
      </c>
      <c r="R276" s="22" t="n">
        <f aca="false">IF(OR($A276="",N(M276)=0),0,CEILING(M276*(1+IF($O276="",Taux_Jur,$O276))-0.005,Pas_Arrondi))</f>
        <v>0</v>
      </c>
      <c r="S276" s="22" t="n">
        <f aca="false">IF(OR($A276="",N(N276)=0),0,CEILING(N276*(1+IF($O276="",Taux_PA,$O276))-0.005,Pas_Arrondi))</f>
        <v>0</v>
      </c>
      <c r="T276" s="22" t="str">
        <f aca="false">IF($A276="","",SUM(K276:N276))</f>
        <v/>
      </c>
      <c r="U276" s="22" t="str">
        <f aca="false">IF($A276="","",SUM(P276:S276))</f>
        <v/>
      </c>
      <c r="V276" s="22" t="str">
        <f aca="false">IF($A276="","",U276-T276)</f>
        <v/>
      </c>
      <c r="W276" s="23" t="str">
        <f aca="false">IF(OR($A276="",N(T276)=0),"",V276/T276)</f>
        <v/>
      </c>
      <c r="X276" s="18"/>
      <c r="Y276" s="18"/>
    </row>
    <row r="277" customFormat="false" ht="15" hidden="false" customHeight="false" outlineLevel="0" collapsed="false">
      <c r="A277" s="18"/>
      <c r="B277" s="18"/>
      <c r="C277" s="18"/>
      <c r="D277" s="18"/>
      <c r="E277" s="18"/>
      <c r="F277" s="18"/>
      <c r="G277" s="18"/>
      <c r="H277" s="19"/>
      <c r="I277" s="18"/>
      <c r="J277" s="18"/>
      <c r="K277" s="20"/>
      <c r="L277" s="20"/>
      <c r="M277" s="20"/>
      <c r="N277" s="20"/>
      <c r="O277" s="21"/>
      <c r="P277" s="22" t="n">
        <f aca="false">IF(OR($A277="",N(K277)=0),0,CEILING(K277*(1+IF($O277="",Taux_Compta,$O277))-0.005,Pas_Arrondi))</f>
        <v>0</v>
      </c>
      <c r="Q277" s="22" t="n">
        <f aca="false">IF(OR($A277="",N(L277)=0),0,CEILING(L277*(1+IF($O277="",Taux_Paye,$O277))-0.005,Pas_Arrondi))</f>
        <v>0</v>
      </c>
      <c r="R277" s="22" t="n">
        <f aca="false">IF(OR($A277="",N(M277)=0),0,CEILING(M277*(1+IF($O277="",Taux_Jur,$O277))-0.005,Pas_Arrondi))</f>
        <v>0</v>
      </c>
      <c r="S277" s="22" t="n">
        <f aca="false">IF(OR($A277="",N(N277)=0),0,CEILING(N277*(1+IF($O277="",Taux_PA,$O277))-0.005,Pas_Arrondi))</f>
        <v>0</v>
      </c>
      <c r="T277" s="22" t="str">
        <f aca="false">IF($A277="","",SUM(K277:N277))</f>
        <v/>
      </c>
      <c r="U277" s="22" t="str">
        <f aca="false">IF($A277="","",SUM(P277:S277))</f>
        <v/>
      </c>
      <c r="V277" s="22" t="str">
        <f aca="false">IF($A277="","",U277-T277)</f>
        <v/>
      </c>
      <c r="W277" s="23" t="str">
        <f aca="false">IF(OR($A277="",N(T277)=0),"",V277/T277)</f>
        <v/>
      </c>
      <c r="X277" s="18"/>
      <c r="Y277" s="18"/>
    </row>
    <row r="278" customFormat="false" ht="15" hidden="false" customHeight="false" outlineLevel="0" collapsed="false">
      <c r="A278" s="18"/>
      <c r="B278" s="18"/>
      <c r="C278" s="18"/>
      <c r="D278" s="18"/>
      <c r="E278" s="18"/>
      <c r="F278" s="18"/>
      <c r="G278" s="18"/>
      <c r="H278" s="19"/>
      <c r="I278" s="18"/>
      <c r="J278" s="18"/>
      <c r="K278" s="20"/>
      <c r="L278" s="20"/>
      <c r="M278" s="20"/>
      <c r="N278" s="20"/>
      <c r="O278" s="21"/>
      <c r="P278" s="22" t="n">
        <f aca="false">IF(OR($A278="",N(K278)=0),0,CEILING(K278*(1+IF($O278="",Taux_Compta,$O278))-0.005,Pas_Arrondi))</f>
        <v>0</v>
      </c>
      <c r="Q278" s="22" t="n">
        <f aca="false">IF(OR($A278="",N(L278)=0),0,CEILING(L278*(1+IF($O278="",Taux_Paye,$O278))-0.005,Pas_Arrondi))</f>
        <v>0</v>
      </c>
      <c r="R278" s="22" t="n">
        <f aca="false">IF(OR($A278="",N(M278)=0),0,CEILING(M278*(1+IF($O278="",Taux_Jur,$O278))-0.005,Pas_Arrondi))</f>
        <v>0</v>
      </c>
      <c r="S278" s="22" t="n">
        <f aca="false">IF(OR($A278="",N(N278)=0),0,CEILING(N278*(1+IF($O278="",Taux_PA,$O278))-0.005,Pas_Arrondi))</f>
        <v>0</v>
      </c>
      <c r="T278" s="22" t="str">
        <f aca="false">IF($A278="","",SUM(K278:N278))</f>
        <v/>
      </c>
      <c r="U278" s="22" t="str">
        <f aca="false">IF($A278="","",SUM(P278:S278))</f>
        <v/>
      </c>
      <c r="V278" s="22" t="str">
        <f aca="false">IF($A278="","",U278-T278)</f>
        <v/>
      </c>
      <c r="W278" s="23" t="str">
        <f aca="false">IF(OR($A278="",N(T278)=0),"",V278/T278)</f>
        <v/>
      </c>
      <c r="X278" s="18"/>
      <c r="Y278" s="18"/>
    </row>
    <row r="279" customFormat="false" ht="15" hidden="false" customHeight="false" outlineLevel="0" collapsed="false">
      <c r="A279" s="18"/>
      <c r="B279" s="18"/>
      <c r="C279" s="18"/>
      <c r="D279" s="18"/>
      <c r="E279" s="18"/>
      <c r="F279" s="18"/>
      <c r="G279" s="18"/>
      <c r="H279" s="19"/>
      <c r="I279" s="18"/>
      <c r="J279" s="18"/>
      <c r="K279" s="20"/>
      <c r="L279" s="20"/>
      <c r="M279" s="20"/>
      <c r="N279" s="20"/>
      <c r="O279" s="21"/>
      <c r="P279" s="22" t="n">
        <f aca="false">IF(OR($A279="",N(K279)=0),0,CEILING(K279*(1+IF($O279="",Taux_Compta,$O279))-0.005,Pas_Arrondi))</f>
        <v>0</v>
      </c>
      <c r="Q279" s="22" t="n">
        <f aca="false">IF(OR($A279="",N(L279)=0),0,CEILING(L279*(1+IF($O279="",Taux_Paye,$O279))-0.005,Pas_Arrondi))</f>
        <v>0</v>
      </c>
      <c r="R279" s="22" t="n">
        <f aca="false">IF(OR($A279="",N(M279)=0),0,CEILING(M279*(1+IF($O279="",Taux_Jur,$O279))-0.005,Pas_Arrondi))</f>
        <v>0</v>
      </c>
      <c r="S279" s="22" t="n">
        <f aca="false">IF(OR($A279="",N(N279)=0),0,CEILING(N279*(1+IF($O279="",Taux_PA,$O279))-0.005,Pas_Arrondi))</f>
        <v>0</v>
      </c>
      <c r="T279" s="22" t="str">
        <f aca="false">IF($A279="","",SUM(K279:N279))</f>
        <v/>
      </c>
      <c r="U279" s="22" t="str">
        <f aca="false">IF($A279="","",SUM(P279:S279))</f>
        <v/>
      </c>
      <c r="V279" s="22" t="str">
        <f aca="false">IF($A279="","",U279-T279)</f>
        <v/>
      </c>
      <c r="W279" s="23" t="str">
        <f aca="false">IF(OR($A279="",N(T279)=0),"",V279/T279)</f>
        <v/>
      </c>
      <c r="X279" s="18"/>
      <c r="Y279" s="18"/>
    </row>
    <row r="280" customFormat="false" ht="15" hidden="false" customHeight="false" outlineLevel="0" collapsed="false">
      <c r="A280" s="18"/>
      <c r="B280" s="18"/>
      <c r="C280" s="18"/>
      <c r="D280" s="18"/>
      <c r="E280" s="18"/>
      <c r="F280" s="18"/>
      <c r="G280" s="18"/>
      <c r="H280" s="19"/>
      <c r="I280" s="18"/>
      <c r="J280" s="18"/>
      <c r="K280" s="20"/>
      <c r="L280" s="20"/>
      <c r="M280" s="20"/>
      <c r="N280" s="20"/>
      <c r="O280" s="21"/>
      <c r="P280" s="22" t="n">
        <f aca="false">IF(OR($A280="",N(K280)=0),0,CEILING(K280*(1+IF($O280="",Taux_Compta,$O280))-0.005,Pas_Arrondi))</f>
        <v>0</v>
      </c>
      <c r="Q280" s="22" t="n">
        <f aca="false">IF(OR($A280="",N(L280)=0),0,CEILING(L280*(1+IF($O280="",Taux_Paye,$O280))-0.005,Pas_Arrondi))</f>
        <v>0</v>
      </c>
      <c r="R280" s="22" t="n">
        <f aca="false">IF(OR($A280="",N(M280)=0),0,CEILING(M280*(1+IF($O280="",Taux_Jur,$O280))-0.005,Pas_Arrondi))</f>
        <v>0</v>
      </c>
      <c r="S280" s="22" t="n">
        <f aca="false">IF(OR($A280="",N(N280)=0),0,CEILING(N280*(1+IF($O280="",Taux_PA,$O280))-0.005,Pas_Arrondi))</f>
        <v>0</v>
      </c>
      <c r="T280" s="22" t="str">
        <f aca="false">IF($A280="","",SUM(K280:N280))</f>
        <v/>
      </c>
      <c r="U280" s="22" t="str">
        <f aca="false">IF($A280="","",SUM(P280:S280))</f>
        <v/>
      </c>
      <c r="V280" s="22" t="str">
        <f aca="false">IF($A280="","",U280-T280)</f>
        <v/>
      </c>
      <c r="W280" s="23" t="str">
        <f aca="false">IF(OR($A280="",N(T280)=0),"",V280/T280)</f>
        <v/>
      </c>
      <c r="X280" s="18"/>
      <c r="Y280" s="18"/>
    </row>
    <row r="281" customFormat="false" ht="15" hidden="false" customHeight="false" outlineLevel="0" collapsed="false">
      <c r="A281" s="18"/>
      <c r="B281" s="18"/>
      <c r="C281" s="18"/>
      <c r="D281" s="18"/>
      <c r="E281" s="18"/>
      <c r="F281" s="18"/>
      <c r="G281" s="18"/>
      <c r="H281" s="19"/>
      <c r="I281" s="18"/>
      <c r="J281" s="18"/>
      <c r="K281" s="20"/>
      <c r="L281" s="20"/>
      <c r="M281" s="20"/>
      <c r="N281" s="20"/>
      <c r="O281" s="21"/>
      <c r="P281" s="22" t="n">
        <f aca="false">IF(OR($A281="",N(K281)=0),0,CEILING(K281*(1+IF($O281="",Taux_Compta,$O281))-0.005,Pas_Arrondi))</f>
        <v>0</v>
      </c>
      <c r="Q281" s="22" t="n">
        <f aca="false">IF(OR($A281="",N(L281)=0),0,CEILING(L281*(1+IF($O281="",Taux_Paye,$O281))-0.005,Pas_Arrondi))</f>
        <v>0</v>
      </c>
      <c r="R281" s="22" t="n">
        <f aca="false">IF(OR($A281="",N(M281)=0),0,CEILING(M281*(1+IF($O281="",Taux_Jur,$O281))-0.005,Pas_Arrondi))</f>
        <v>0</v>
      </c>
      <c r="S281" s="22" t="n">
        <f aca="false">IF(OR($A281="",N(N281)=0),0,CEILING(N281*(1+IF($O281="",Taux_PA,$O281))-0.005,Pas_Arrondi))</f>
        <v>0</v>
      </c>
      <c r="T281" s="22" t="str">
        <f aca="false">IF($A281="","",SUM(K281:N281))</f>
        <v/>
      </c>
      <c r="U281" s="22" t="str">
        <f aca="false">IF($A281="","",SUM(P281:S281))</f>
        <v/>
      </c>
      <c r="V281" s="22" t="str">
        <f aca="false">IF($A281="","",U281-T281)</f>
        <v/>
      </c>
      <c r="W281" s="23" t="str">
        <f aca="false">IF(OR($A281="",N(T281)=0),"",V281/T281)</f>
        <v/>
      </c>
      <c r="X281" s="18"/>
      <c r="Y281" s="18"/>
    </row>
    <row r="282" customFormat="false" ht="15" hidden="false" customHeight="false" outlineLevel="0" collapsed="false">
      <c r="A282" s="18"/>
      <c r="B282" s="18"/>
      <c r="C282" s="18"/>
      <c r="D282" s="18"/>
      <c r="E282" s="18"/>
      <c r="F282" s="18"/>
      <c r="G282" s="18"/>
      <c r="H282" s="19"/>
      <c r="I282" s="18"/>
      <c r="J282" s="18"/>
      <c r="K282" s="20"/>
      <c r="L282" s="20"/>
      <c r="M282" s="20"/>
      <c r="N282" s="20"/>
      <c r="O282" s="21"/>
      <c r="P282" s="22" t="n">
        <f aca="false">IF(OR($A282="",N(K282)=0),0,CEILING(K282*(1+IF($O282="",Taux_Compta,$O282))-0.005,Pas_Arrondi))</f>
        <v>0</v>
      </c>
      <c r="Q282" s="22" t="n">
        <f aca="false">IF(OR($A282="",N(L282)=0),0,CEILING(L282*(1+IF($O282="",Taux_Paye,$O282))-0.005,Pas_Arrondi))</f>
        <v>0</v>
      </c>
      <c r="R282" s="22" t="n">
        <f aca="false">IF(OR($A282="",N(M282)=0),0,CEILING(M282*(1+IF($O282="",Taux_Jur,$O282))-0.005,Pas_Arrondi))</f>
        <v>0</v>
      </c>
      <c r="S282" s="22" t="n">
        <f aca="false">IF(OR($A282="",N(N282)=0),0,CEILING(N282*(1+IF($O282="",Taux_PA,$O282))-0.005,Pas_Arrondi))</f>
        <v>0</v>
      </c>
      <c r="T282" s="22" t="str">
        <f aca="false">IF($A282="","",SUM(K282:N282))</f>
        <v/>
      </c>
      <c r="U282" s="22" t="str">
        <f aca="false">IF($A282="","",SUM(P282:S282))</f>
        <v/>
      </c>
      <c r="V282" s="22" t="str">
        <f aca="false">IF($A282="","",U282-T282)</f>
        <v/>
      </c>
      <c r="W282" s="23" t="str">
        <f aca="false">IF(OR($A282="",N(T282)=0),"",V282/T282)</f>
        <v/>
      </c>
      <c r="X282" s="18"/>
      <c r="Y282" s="18"/>
    </row>
    <row r="283" customFormat="false" ht="15" hidden="false" customHeight="false" outlineLevel="0" collapsed="false">
      <c r="A283" s="18"/>
      <c r="B283" s="18"/>
      <c r="C283" s="18"/>
      <c r="D283" s="18"/>
      <c r="E283" s="18"/>
      <c r="F283" s="18"/>
      <c r="G283" s="18"/>
      <c r="H283" s="19"/>
      <c r="I283" s="18"/>
      <c r="J283" s="18"/>
      <c r="K283" s="20"/>
      <c r="L283" s="20"/>
      <c r="M283" s="20"/>
      <c r="N283" s="20"/>
      <c r="O283" s="21"/>
      <c r="P283" s="22" t="n">
        <f aca="false">IF(OR($A283="",N(K283)=0),0,CEILING(K283*(1+IF($O283="",Taux_Compta,$O283))-0.005,Pas_Arrondi))</f>
        <v>0</v>
      </c>
      <c r="Q283" s="22" t="n">
        <f aca="false">IF(OR($A283="",N(L283)=0),0,CEILING(L283*(1+IF($O283="",Taux_Paye,$O283))-0.005,Pas_Arrondi))</f>
        <v>0</v>
      </c>
      <c r="R283" s="22" t="n">
        <f aca="false">IF(OR($A283="",N(M283)=0),0,CEILING(M283*(1+IF($O283="",Taux_Jur,$O283))-0.005,Pas_Arrondi))</f>
        <v>0</v>
      </c>
      <c r="S283" s="22" t="n">
        <f aca="false">IF(OR($A283="",N(N283)=0),0,CEILING(N283*(1+IF($O283="",Taux_PA,$O283))-0.005,Pas_Arrondi))</f>
        <v>0</v>
      </c>
      <c r="T283" s="22" t="str">
        <f aca="false">IF($A283="","",SUM(K283:N283))</f>
        <v/>
      </c>
      <c r="U283" s="22" t="str">
        <f aca="false">IF($A283="","",SUM(P283:S283))</f>
        <v/>
      </c>
      <c r="V283" s="22" t="str">
        <f aca="false">IF($A283="","",U283-T283)</f>
        <v/>
      </c>
      <c r="W283" s="23" t="str">
        <f aca="false">IF(OR($A283="",N(T283)=0),"",V283/T283)</f>
        <v/>
      </c>
      <c r="X283" s="18"/>
      <c r="Y283" s="18"/>
    </row>
    <row r="284" customFormat="false" ht="15" hidden="false" customHeight="false" outlineLevel="0" collapsed="false">
      <c r="A284" s="18"/>
      <c r="B284" s="18"/>
      <c r="C284" s="18"/>
      <c r="D284" s="18"/>
      <c r="E284" s="18"/>
      <c r="F284" s="18"/>
      <c r="G284" s="18"/>
      <c r="H284" s="19"/>
      <c r="I284" s="18"/>
      <c r="J284" s="18"/>
      <c r="K284" s="20"/>
      <c r="L284" s="20"/>
      <c r="M284" s="20"/>
      <c r="N284" s="20"/>
      <c r="O284" s="21"/>
      <c r="P284" s="22" t="n">
        <f aca="false">IF(OR($A284="",N(K284)=0),0,CEILING(K284*(1+IF($O284="",Taux_Compta,$O284))-0.005,Pas_Arrondi))</f>
        <v>0</v>
      </c>
      <c r="Q284" s="22" t="n">
        <f aca="false">IF(OR($A284="",N(L284)=0),0,CEILING(L284*(1+IF($O284="",Taux_Paye,$O284))-0.005,Pas_Arrondi))</f>
        <v>0</v>
      </c>
      <c r="R284" s="22" t="n">
        <f aca="false">IF(OR($A284="",N(M284)=0),0,CEILING(M284*(1+IF($O284="",Taux_Jur,$O284))-0.005,Pas_Arrondi))</f>
        <v>0</v>
      </c>
      <c r="S284" s="22" t="n">
        <f aca="false">IF(OR($A284="",N(N284)=0),0,CEILING(N284*(1+IF($O284="",Taux_PA,$O284))-0.005,Pas_Arrondi))</f>
        <v>0</v>
      </c>
      <c r="T284" s="22" t="str">
        <f aca="false">IF($A284="","",SUM(K284:N284))</f>
        <v/>
      </c>
      <c r="U284" s="22" t="str">
        <f aca="false">IF($A284="","",SUM(P284:S284))</f>
        <v/>
      </c>
      <c r="V284" s="22" t="str">
        <f aca="false">IF($A284="","",U284-T284)</f>
        <v/>
      </c>
      <c r="W284" s="23" t="str">
        <f aca="false">IF(OR($A284="",N(T284)=0),"",V284/T284)</f>
        <v/>
      </c>
      <c r="X284" s="18"/>
      <c r="Y284" s="18"/>
    </row>
    <row r="285" customFormat="false" ht="15" hidden="false" customHeight="false" outlineLevel="0" collapsed="false">
      <c r="A285" s="18"/>
      <c r="B285" s="18"/>
      <c r="C285" s="18"/>
      <c r="D285" s="18"/>
      <c r="E285" s="18"/>
      <c r="F285" s="18"/>
      <c r="G285" s="18"/>
      <c r="H285" s="19"/>
      <c r="I285" s="18"/>
      <c r="J285" s="18"/>
      <c r="K285" s="20"/>
      <c r="L285" s="20"/>
      <c r="M285" s="20"/>
      <c r="N285" s="20"/>
      <c r="O285" s="21"/>
      <c r="P285" s="22" t="n">
        <f aca="false">IF(OR($A285="",N(K285)=0),0,CEILING(K285*(1+IF($O285="",Taux_Compta,$O285))-0.005,Pas_Arrondi))</f>
        <v>0</v>
      </c>
      <c r="Q285" s="22" t="n">
        <f aca="false">IF(OR($A285="",N(L285)=0),0,CEILING(L285*(1+IF($O285="",Taux_Paye,$O285))-0.005,Pas_Arrondi))</f>
        <v>0</v>
      </c>
      <c r="R285" s="22" t="n">
        <f aca="false">IF(OR($A285="",N(M285)=0),0,CEILING(M285*(1+IF($O285="",Taux_Jur,$O285))-0.005,Pas_Arrondi))</f>
        <v>0</v>
      </c>
      <c r="S285" s="22" t="n">
        <f aca="false">IF(OR($A285="",N(N285)=0),0,CEILING(N285*(1+IF($O285="",Taux_PA,$O285))-0.005,Pas_Arrondi))</f>
        <v>0</v>
      </c>
      <c r="T285" s="22" t="str">
        <f aca="false">IF($A285="","",SUM(K285:N285))</f>
        <v/>
      </c>
      <c r="U285" s="22" t="str">
        <f aca="false">IF($A285="","",SUM(P285:S285))</f>
        <v/>
      </c>
      <c r="V285" s="22" t="str">
        <f aca="false">IF($A285="","",U285-T285)</f>
        <v/>
      </c>
      <c r="W285" s="23" t="str">
        <f aca="false">IF(OR($A285="",N(T285)=0),"",V285/T285)</f>
        <v/>
      </c>
      <c r="X285" s="18"/>
      <c r="Y285" s="18"/>
    </row>
    <row r="286" customFormat="false" ht="15" hidden="false" customHeight="false" outlineLevel="0" collapsed="false">
      <c r="A286" s="18"/>
      <c r="B286" s="18"/>
      <c r="C286" s="18"/>
      <c r="D286" s="18"/>
      <c r="E286" s="18"/>
      <c r="F286" s="18"/>
      <c r="G286" s="18"/>
      <c r="H286" s="19"/>
      <c r="I286" s="18"/>
      <c r="J286" s="18"/>
      <c r="K286" s="20"/>
      <c r="L286" s="20"/>
      <c r="M286" s="20"/>
      <c r="N286" s="20"/>
      <c r="O286" s="21"/>
      <c r="P286" s="22" t="n">
        <f aca="false">IF(OR($A286="",N(K286)=0),0,CEILING(K286*(1+IF($O286="",Taux_Compta,$O286))-0.005,Pas_Arrondi))</f>
        <v>0</v>
      </c>
      <c r="Q286" s="22" t="n">
        <f aca="false">IF(OR($A286="",N(L286)=0),0,CEILING(L286*(1+IF($O286="",Taux_Paye,$O286))-0.005,Pas_Arrondi))</f>
        <v>0</v>
      </c>
      <c r="R286" s="22" t="n">
        <f aca="false">IF(OR($A286="",N(M286)=0),0,CEILING(M286*(1+IF($O286="",Taux_Jur,$O286))-0.005,Pas_Arrondi))</f>
        <v>0</v>
      </c>
      <c r="S286" s="22" t="n">
        <f aca="false">IF(OR($A286="",N(N286)=0),0,CEILING(N286*(1+IF($O286="",Taux_PA,$O286))-0.005,Pas_Arrondi))</f>
        <v>0</v>
      </c>
      <c r="T286" s="22" t="str">
        <f aca="false">IF($A286="","",SUM(K286:N286))</f>
        <v/>
      </c>
      <c r="U286" s="22" t="str">
        <f aca="false">IF($A286="","",SUM(P286:S286))</f>
        <v/>
      </c>
      <c r="V286" s="22" t="str">
        <f aca="false">IF($A286="","",U286-T286)</f>
        <v/>
      </c>
      <c r="W286" s="23" t="str">
        <f aca="false">IF(OR($A286="",N(T286)=0),"",V286/T286)</f>
        <v/>
      </c>
      <c r="X286" s="18"/>
      <c r="Y286" s="18"/>
    </row>
    <row r="287" customFormat="false" ht="15" hidden="false" customHeight="false" outlineLevel="0" collapsed="false">
      <c r="A287" s="18"/>
      <c r="B287" s="18"/>
      <c r="C287" s="18"/>
      <c r="D287" s="18"/>
      <c r="E287" s="18"/>
      <c r="F287" s="18"/>
      <c r="G287" s="18"/>
      <c r="H287" s="19"/>
      <c r="I287" s="18"/>
      <c r="J287" s="18"/>
      <c r="K287" s="20"/>
      <c r="L287" s="20"/>
      <c r="M287" s="20"/>
      <c r="N287" s="20"/>
      <c r="O287" s="21"/>
      <c r="P287" s="22" t="n">
        <f aca="false">IF(OR($A287="",N(K287)=0),0,CEILING(K287*(1+IF($O287="",Taux_Compta,$O287))-0.005,Pas_Arrondi))</f>
        <v>0</v>
      </c>
      <c r="Q287" s="22" t="n">
        <f aca="false">IF(OR($A287="",N(L287)=0),0,CEILING(L287*(1+IF($O287="",Taux_Paye,$O287))-0.005,Pas_Arrondi))</f>
        <v>0</v>
      </c>
      <c r="R287" s="22" t="n">
        <f aca="false">IF(OR($A287="",N(M287)=0),0,CEILING(M287*(1+IF($O287="",Taux_Jur,$O287))-0.005,Pas_Arrondi))</f>
        <v>0</v>
      </c>
      <c r="S287" s="22" t="n">
        <f aca="false">IF(OR($A287="",N(N287)=0),0,CEILING(N287*(1+IF($O287="",Taux_PA,$O287))-0.005,Pas_Arrondi))</f>
        <v>0</v>
      </c>
      <c r="T287" s="22" t="str">
        <f aca="false">IF($A287="","",SUM(K287:N287))</f>
        <v/>
      </c>
      <c r="U287" s="22" t="str">
        <f aca="false">IF($A287="","",SUM(P287:S287))</f>
        <v/>
      </c>
      <c r="V287" s="22" t="str">
        <f aca="false">IF($A287="","",U287-T287)</f>
        <v/>
      </c>
      <c r="W287" s="23" t="str">
        <f aca="false">IF(OR($A287="",N(T287)=0),"",V287/T287)</f>
        <v/>
      </c>
      <c r="X287" s="18"/>
      <c r="Y287" s="18"/>
    </row>
    <row r="288" customFormat="false" ht="15" hidden="false" customHeight="false" outlineLevel="0" collapsed="false">
      <c r="A288" s="18"/>
      <c r="B288" s="18"/>
      <c r="C288" s="18"/>
      <c r="D288" s="18"/>
      <c r="E288" s="18"/>
      <c r="F288" s="18"/>
      <c r="G288" s="18"/>
      <c r="H288" s="19"/>
      <c r="I288" s="18"/>
      <c r="J288" s="18"/>
      <c r="K288" s="20"/>
      <c r="L288" s="20"/>
      <c r="M288" s="20"/>
      <c r="N288" s="20"/>
      <c r="O288" s="21"/>
      <c r="P288" s="22" t="n">
        <f aca="false">IF(OR($A288="",N(K288)=0),0,CEILING(K288*(1+IF($O288="",Taux_Compta,$O288))-0.005,Pas_Arrondi))</f>
        <v>0</v>
      </c>
      <c r="Q288" s="22" t="n">
        <f aca="false">IF(OR($A288="",N(L288)=0),0,CEILING(L288*(1+IF($O288="",Taux_Paye,$O288))-0.005,Pas_Arrondi))</f>
        <v>0</v>
      </c>
      <c r="R288" s="22" t="n">
        <f aca="false">IF(OR($A288="",N(M288)=0),0,CEILING(M288*(1+IF($O288="",Taux_Jur,$O288))-0.005,Pas_Arrondi))</f>
        <v>0</v>
      </c>
      <c r="S288" s="22" t="n">
        <f aca="false">IF(OR($A288="",N(N288)=0),0,CEILING(N288*(1+IF($O288="",Taux_PA,$O288))-0.005,Pas_Arrondi))</f>
        <v>0</v>
      </c>
      <c r="T288" s="22" t="str">
        <f aca="false">IF($A288="","",SUM(K288:N288))</f>
        <v/>
      </c>
      <c r="U288" s="22" t="str">
        <f aca="false">IF($A288="","",SUM(P288:S288))</f>
        <v/>
      </c>
      <c r="V288" s="22" t="str">
        <f aca="false">IF($A288="","",U288-T288)</f>
        <v/>
      </c>
      <c r="W288" s="23" t="str">
        <f aca="false">IF(OR($A288="",N(T288)=0),"",V288/T288)</f>
        <v/>
      </c>
      <c r="X288" s="18"/>
      <c r="Y288" s="18"/>
    </row>
    <row r="289" customFormat="false" ht="15" hidden="false" customHeight="false" outlineLevel="0" collapsed="false">
      <c r="A289" s="18"/>
      <c r="B289" s="18"/>
      <c r="C289" s="18"/>
      <c r="D289" s="18"/>
      <c r="E289" s="18"/>
      <c r="F289" s="18"/>
      <c r="G289" s="18"/>
      <c r="H289" s="19"/>
      <c r="I289" s="18"/>
      <c r="J289" s="18"/>
      <c r="K289" s="20"/>
      <c r="L289" s="20"/>
      <c r="M289" s="20"/>
      <c r="N289" s="20"/>
      <c r="O289" s="21"/>
      <c r="P289" s="22" t="n">
        <f aca="false">IF(OR($A289="",N(K289)=0),0,CEILING(K289*(1+IF($O289="",Taux_Compta,$O289))-0.005,Pas_Arrondi))</f>
        <v>0</v>
      </c>
      <c r="Q289" s="22" t="n">
        <f aca="false">IF(OR($A289="",N(L289)=0),0,CEILING(L289*(1+IF($O289="",Taux_Paye,$O289))-0.005,Pas_Arrondi))</f>
        <v>0</v>
      </c>
      <c r="R289" s="22" t="n">
        <f aca="false">IF(OR($A289="",N(M289)=0),0,CEILING(M289*(1+IF($O289="",Taux_Jur,$O289))-0.005,Pas_Arrondi))</f>
        <v>0</v>
      </c>
      <c r="S289" s="22" t="n">
        <f aca="false">IF(OR($A289="",N(N289)=0),0,CEILING(N289*(1+IF($O289="",Taux_PA,$O289))-0.005,Pas_Arrondi))</f>
        <v>0</v>
      </c>
      <c r="T289" s="22" t="str">
        <f aca="false">IF($A289="","",SUM(K289:N289))</f>
        <v/>
      </c>
      <c r="U289" s="22" t="str">
        <f aca="false">IF($A289="","",SUM(P289:S289))</f>
        <v/>
      </c>
      <c r="V289" s="22" t="str">
        <f aca="false">IF($A289="","",U289-T289)</f>
        <v/>
      </c>
      <c r="W289" s="23" t="str">
        <f aca="false">IF(OR($A289="",N(T289)=0),"",V289/T289)</f>
        <v/>
      </c>
      <c r="X289" s="18"/>
      <c r="Y289" s="18"/>
    </row>
    <row r="290" customFormat="false" ht="15" hidden="false" customHeight="false" outlineLevel="0" collapsed="false">
      <c r="A290" s="18"/>
      <c r="B290" s="18"/>
      <c r="C290" s="18"/>
      <c r="D290" s="18"/>
      <c r="E290" s="18"/>
      <c r="F290" s="18"/>
      <c r="G290" s="18"/>
      <c r="H290" s="19"/>
      <c r="I290" s="18"/>
      <c r="J290" s="18"/>
      <c r="K290" s="20"/>
      <c r="L290" s="20"/>
      <c r="M290" s="20"/>
      <c r="N290" s="20"/>
      <c r="O290" s="21"/>
      <c r="P290" s="22" t="n">
        <f aca="false">IF(OR($A290="",N(K290)=0),0,CEILING(K290*(1+IF($O290="",Taux_Compta,$O290))-0.005,Pas_Arrondi))</f>
        <v>0</v>
      </c>
      <c r="Q290" s="22" t="n">
        <f aca="false">IF(OR($A290="",N(L290)=0),0,CEILING(L290*(1+IF($O290="",Taux_Paye,$O290))-0.005,Pas_Arrondi))</f>
        <v>0</v>
      </c>
      <c r="R290" s="22" t="n">
        <f aca="false">IF(OR($A290="",N(M290)=0),0,CEILING(M290*(1+IF($O290="",Taux_Jur,$O290))-0.005,Pas_Arrondi))</f>
        <v>0</v>
      </c>
      <c r="S290" s="22" t="n">
        <f aca="false">IF(OR($A290="",N(N290)=0),0,CEILING(N290*(1+IF($O290="",Taux_PA,$O290))-0.005,Pas_Arrondi))</f>
        <v>0</v>
      </c>
      <c r="T290" s="22" t="str">
        <f aca="false">IF($A290="","",SUM(K290:N290))</f>
        <v/>
      </c>
      <c r="U290" s="22" t="str">
        <f aca="false">IF($A290="","",SUM(P290:S290))</f>
        <v/>
      </c>
      <c r="V290" s="22" t="str">
        <f aca="false">IF($A290="","",U290-T290)</f>
        <v/>
      </c>
      <c r="W290" s="23" t="str">
        <f aca="false">IF(OR($A290="",N(T290)=0),"",V290/T290)</f>
        <v/>
      </c>
      <c r="X290" s="18"/>
      <c r="Y290" s="18"/>
    </row>
    <row r="291" customFormat="false" ht="15" hidden="false" customHeight="false" outlineLevel="0" collapsed="false">
      <c r="A291" s="18"/>
      <c r="B291" s="18"/>
      <c r="C291" s="18"/>
      <c r="D291" s="18"/>
      <c r="E291" s="18"/>
      <c r="F291" s="18"/>
      <c r="G291" s="18"/>
      <c r="H291" s="19"/>
      <c r="I291" s="18"/>
      <c r="J291" s="18"/>
      <c r="K291" s="20"/>
      <c r="L291" s="20"/>
      <c r="M291" s="20"/>
      <c r="N291" s="20"/>
      <c r="O291" s="21"/>
      <c r="P291" s="22" t="n">
        <f aca="false">IF(OR($A291="",N(K291)=0),0,CEILING(K291*(1+IF($O291="",Taux_Compta,$O291))-0.005,Pas_Arrondi))</f>
        <v>0</v>
      </c>
      <c r="Q291" s="22" t="n">
        <f aca="false">IF(OR($A291="",N(L291)=0),0,CEILING(L291*(1+IF($O291="",Taux_Paye,$O291))-0.005,Pas_Arrondi))</f>
        <v>0</v>
      </c>
      <c r="R291" s="22" t="n">
        <f aca="false">IF(OR($A291="",N(M291)=0),0,CEILING(M291*(1+IF($O291="",Taux_Jur,$O291))-0.005,Pas_Arrondi))</f>
        <v>0</v>
      </c>
      <c r="S291" s="22" t="n">
        <f aca="false">IF(OR($A291="",N(N291)=0),0,CEILING(N291*(1+IF($O291="",Taux_PA,$O291))-0.005,Pas_Arrondi))</f>
        <v>0</v>
      </c>
      <c r="T291" s="22" t="str">
        <f aca="false">IF($A291="","",SUM(K291:N291))</f>
        <v/>
      </c>
      <c r="U291" s="22" t="str">
        <f aca="false">IF($A291="","",SUM(P291:S291))</f>
        <v/>
      </c>
      <c r="V291" s="22" t="str">
        <f aca="false">IF($A291="","",U291-T291)</f>
        <v/>
      </c>
      <c r="W291" s="23" t="str">
        <f aca="false">IF(OR($A291="",N(T291)=0),"",V291/T291)</f>
        <v/>
      </c>
      <c r="X291" s="18"/>
      <c r="Y291" s="18"/>
    </row>
    <row r="292" customFormat="false" ht="15" hidden="false" customHeight="false" outlineLevel="0" collapsed="false">
      <c r="A292" s="18"/>
      <c r="B292" s="18"/>
      <c r="C292" s="18"/>
      <c r="D292" s="18"/>
      <c r="E292" s="18"/>
      <c r="F292" s="18"/>
      <c r="G292" s="18"/>
      <c r="H292" s="19"/>
      <c r="I292" s="18"/>
      <c r="J292" s="18"/>
      <c r="K292" s="20"/>
      <c r="L292" s="20"/>
      <c r="M292" s="20"/>
      <c r="N292" s="20"/>
      <c r="O292" s="21"/>
      <c r="P292" s="22" t="n">
        <f aca="false">IF(OR($A292="",N(K292)=0),0,CEILING(K292*(1+IF($O292="",Taux_Compta,$O292))-0.005,Pas_Arrondi))</f>
        <v>0</v>
      </c>
      <c r="Q292" s="22" t="n">
        <f aca="false">IF(OR($A292="",N(L292)=0),0,CEILING(L292*(1+IF($O292="",Taux_Paye,$O292))-0.005,Pas_Arrondi))</f>
        <v>0</v>
      </c>
      <c r="R292" s="22" t="n">
        <f aca="false">IF(OR($A292="",N(M292)=0),0,CEILING(M292*(1+IF($O292="",Taux_Jur,$O292))-0.005,Pas_Arrondi))</f>
        <v>0</v>
      </c>
      <c r="S292" s="22" t="n">
        <f aca="false">IF(OR($A292="",N(N292)=0),0,CEILING(N292*(1+IF($O292="",Taux_PA,$O292))-0.005,Pas_Arrondi))</f>
        <v>0</v>
      </c>
      <c r="T292" s="22" t="str">
        <f aca="false">IF($A292="","",SUM(K292:N292))</f>
        <v/>
      </c>
      <c r="U292" s="22" t="str">
        <f aca="false">IF($A292="","",SUM(P292:S292))</f>
        <v/>
      </c>
      <c r="V292" s="22" t="str">
        <f aca="false">IF($A292="","",U292-T292)</f>
        <v/>
      </c>
      <c r="W292" s="23" t="str">
        <f aca="false">IF(OR($A292="",N(T292)=0),"",V292/T292)</f>
        <v/>
      </c>
      <c r="X292" s="18"/>
      <c r="Y292" s="18"/>
    </row>
    <row r="293" customFormat="false" ht="15" hidden="false" customHeight="false" outlineLevel="0" collapsed="false">
      <c r="A293" s="18"/>
      <c r="B293" s="18"/>
      <c r="C293" s="18"/>
      <c r="D293" s="18"/>
      <c r="E293" s="18"/>
      <c r="F293" s="18"/>
      <c r="G293" s="18"/>
      <c r="H293" s="19"/>
      <c r="I293" s="18"/>
      <c r="J293" s="18"/>
      <c r="K293" s="20"/>
      <c r="L293" s="20"/>
      <c r="M293" s="20"/>
      <c r="N293" s="20"/>
      <c r="O293" s="21"/>
      <c r="P293" s="22" t="n">
        <f aca="false">IF(OR($A293="",N(K293)=0),0,CEILING(K293*(1+IF($O293="",Taux_Compta,$O293))-0.005,Pas_Arrondi))</f>
        <v>0</v>
      </c>
      <c r="Q293" s="22" t="n">
        <f aca="false">IF(OR($A293="",N(L293)=0),0,CEILING(L293*(1+IF($O293="",Taux_Paye,$O293))-0.005,Pas_Arrondi))</f>
        <v>0</v>
      </c>
      <c r="R293" s="22" t="n">
        <f aca="false">IF(OR($A293="",N(M293)=0),0,CEILING(M293*(1+IF($O293="",Taux_Jur,$O293))-0.005,Pas_Arrondi))</f>
        <v>0</v>
      </c>
      <c r="S293" s="22" t="n">
        <f aca="false">IF(OR($A293="",N(N293)=0),0,CEILING(N293*(1+IF($O293="",Taux_PA,$O293))-0.005,Pas_Arrondi))</f>
        <v>0</v>
      </c>
      <c r="T293" s="22" t="str">
        <f aca="false">IF($A293="","",SUM(K293:N293))</f>
        <v/>
      </c>
      <c r="U293" s="22" t="str">
        <f aca="false">IF($A293="","",SUM(P293:S293))</f>
        <v/>
      </c>
      <c r="V293" s="22" t="str">
        <f aca="false">IF($A293="","",U293-T293)</f>
        <v/>
      </c>
      <c r="W293" s="23" t="str">
        <f aca="false">IF(OR($A293="",N(T293)=0),"",V293/T293)</f>
        <v/>
      </c>
      <c r="X293" s="18"/>
      <c r="Y293" s="18"/>
    </row>
    <row r="294" customFormat="false" ht="15" hidden="false" customHeight="false" outlineLevel="0" collapsed="false">
      <c r="A294" s="18"/>
      <c r="B294" s="18"/>
      <c r="C294" s="18"/>
      <c r="D294" s="18"/>
      <c r="E294" s="18"/>
      <c r="F294" s="18"/>
      <c r="G294" s="18"/>
      <c r="H294" s="19"/>
      <c r="I294" s="18"/>
      <c r="J294" s="18"/>
      <c r="K294" s="20"/>
      <c r="L294" s="20"/>
      <c r="M294" s="20"/>
      <c r="N294" s="20"/>
      <c r="O294" s="21"/>
      <c r="P294" s="22" t="n">
        <f aca="false">IF(OR($A294="",N(K294)=0),0,CEILING(K294*(1+IF($O294="",Taux_Compta,$O294))-0.005,Pas_Arrondi))</f>
        <v>0</v>
      </c>
      <c r="Q294" s="22" t="n">
        <f aca="false">IF(OR($A294="",N(L294)=0),0,CEILING(L294*(1+IF($O294="",Taux_Paye,$O294))-0.005,Pas_Arrondi))</f>
        <v>0</v>
      </c>
      <c r="R294" s="22" t="n">
        <f aca="false">IF(OR($A294="",N(M294)=0),0,CEILING(M294*(1+IF($O294="",Taux_Jur,$O294))-0.005,Pas_Arrondi))</f>
        <v>0</v>
      </c>
      <c r="S294" s="22" t="n">
        <f aca="false">IF(OR($A294="",N(N294)=0),0,CEILING(N294*(1+IF($O294="",Taux_PA,$O294))-0.005,Pas_Arrondi))</f>
        <v>0</v>
      </c>
      <c r="T294" s="22" t="str">
        <f aca="false">IF($A294="","",SUM(K294:N294))</f>
        <v/>
      </c>
      <c r="U294" s="22" t="str">
        <f aca="false">IF($A294="","",SUM(P294:S294))</f>
        <v/>
      </c>
      <c r="V294" s="22" t="str">
        <f aca="false">IF($A294="","",U294-T294)</f>
        <v/>
      </c>
      <c r="W294" s="23" t="str">
        <f aca="false">IF(OR($A294="",N(T294)=0),"",V294/T294)</f>
        <v/>
      </c>
      <c r="X294" s="18"/>
      <c r="Y294" s="18"/>
    </row>
    <row r="295" customFormat="false" ht="15" hidden="false" customHeight="false" outlineLevel="0" collapsed="false">
      <c r="A295" s="18"/>
      <c r="B295" s="18"/>
      <c r="C295" s="18"/>
      <c r="D295" s="18"/>
      <c r="E295" s="18"/>
      <c r="F295" s="18"/>
      <c r="G295" s="18"/>
      <c r="H295" s="19"/>
      <c r="I295" s="18"/>
      <c r="J295" s="18"/>
      <c r="K295" s="20"/>
      <c r="L295" s="20"/>
      <c r="M295" s="20"/>
      <c r="N295" s="20"/>
      <c r="O295" s="21"/>
      <c r="P295" s="22" t="n">
        <f aca="false">IF(OR($A295="",N(K295)=0),0,CEILING(K295*(1+IF($O295="",Taux_Compta,$O295))-0.005,Pas_Arrondi))</f>
        <v>0</v>
      </c>
      <c r="Q295" s="22" t="n">
        <f aca="false">IF(OR($A295="",N(L295)=0),0,CEILING(L295*(1+IF($O295="",Taux_Paye,$O295))-0.005,Pas_Arrondi))</f>
        <v>0</v>
      </c>
      <c r="R295" s="22" t="n">
        <f aca="false">IF(OR($A295="",N(M295)=0),0,CEILING(M295*(1+IF($O295="",Taux_Jur,$O295))-0.005,Pas_Arrondi))</f>
        <v>0</v>
      </c>
      <c r="S295" s="22" t="n">
        <f aca="false">IF(OR($A295="",N(N295)=0),0,CEILING(N295*(1+IF($O295="",Taux_PA,$O295))-0.005,Pas_Arrondi))</f>
        <v>0</v>
      </c>
      <c r="T295" s="22" t="str">
        <f aca="false">IF($A295="","",SUM(K295:N295))</f>
        <v/>
      </c>
      <c r="U295" s="22" t="str">
        <f aca="false">IF($A295="","",SUM(P295:S295))</f>
        <v/>
      </c>
      <c r="V295" s="22" t="str">
        <f aca="false">IF($A295="","",U295-T295)</f>
        <v/>
      </c>
      <c r="W295" s="23" t="str">
        <f aca="false">IF(OR($A295="",N(T295)=0),"",V295/T295)</f>
        <v/>
      </c>
      <c r="X295" s="18"/>
      <c r="Y295" s="18"/>
    </row>
    <row r="296" customFormat="false" ht="15" hidden="false" customHeight="false" outlineLevel="0" collapsed="false">
      <c r="A296" s="18"/>
      <c r="B296" s="18"/>
      <c r="C296" s="18"/>
      <c r="D296" s="18"/>
      <c r="E296" s="18"/>
      <c r="F296" s="18"/>
      <c r="G296" s="18"/>
      <c r="H296" s="19"/>
      <c r="I296" s="18"/>
      <c r="J296" s="18"/>
      <c r="K296" s="20"/>
      <c r="L296" s="20"/>
      <c r="M296" s="20"/>
      <c r="N296" s="20"/>
      <c r="O296" s="21"/>
      <c r="P296" s="22" t="n">
        <f aca="false">IF(OR($A296="",N(K296)=0),0,CEILING(K296*(1+IF($O296="",Taux_Compta,$O296))-0.005,Pas_Arrondi))</f>
        <v>0</v>
      </c>
      <c r="Q296" s="22" t="n">
        <f aca="false">IF(OR($A296="",N(L296)=0),0,CEILING(L296*(1+IF($O296="",Taux_Paye,$O296))-0.005,Pas_Arrondi))</f>
        <v>0</v>
      </c>
      <c r="R296" s="22" t="n">
        <f aca="false">IF(OR($A296="",N(M296)=0),0,CEILING(M296*(1+IF($O296="",Taux_Jur,$O296))-0.005,Pas_Arrondi))</f>
        <v>0</v>
      </c>
      <c r="S296" s="22" t="n">
        <f aca="false">IF(OR($A296="",N(N296)=0),0,CEILING(N296*(1+IF($O296="",Taux_PA,$O296))-0.005,Pas_Arrondi))</f>
        <v>0</v>
      </c>
      <c r="T296" s="22" t="str">
        <f aca="false">IF($A296="","",SUM(K296:N296))</f>
        <v/>
      </c>
      <c r="U296" s="22" t="str">
        <f aca="false">IF($A296="","",SUM(P296:S296))</f>
        <v/>
      </c>
      <c r="V296" s="22" t="str">
        <f aca="false">IF($A296="","",U296-T296)</f>
        <v/>
      </c>
      <c r="W296" s="23" t="str">
        <f aca="false">IF(OR($A296="",N(T296)=0),"",V296/T296)</f>
        <v/>
      </c>
      <c r="X296" s="18"/>
      <c r="Y296" s="18"/>
    </row>
    <row r="297" customFormat="false" ht="15" hidden="false" customHeight="false" outlineLevel="0" collapsed="false">
      <c r="A297" s="18"/>
      <c r="B297" s="18"/>
      <c r="C297" s="18"/>
      <c r="D297" s="18"/>
      <c r="E297" s="18"/>
      <c r="F297" s="18"/>
      <c r="G297" s="18"/>
      <c r="H297" s="19"/>
      <c r="I297" s="18"/>
      <c r="J297" s="18"/>
      <c r="K297" s="20"/>
      <c r="L297" s="20"/>
      <c r="M297" s="20"/>
      <c r="N297" s="20"/>
      <c r="O297" s="21"/>
      <c r="P297" s="22" t="n">
        <f aca="false">IF(OR($A297="",N(K297)=0),0,CEILING(K297*(1+IF($O297="",Taux_Compta,$O297))-0.005,Pas_Arrondi))</f>
        <v>0</v>
      </c>
      <c r="Q297" s="22" t="n">
        <f aca="false">IF(OR($A297="",N(L297)=0),0,CEILING(L297*(1+IF($O297="",Taux_Paye,$O297))-0.005,Pas_Arrondi))</f>
        <v>0</v>
      </c>
      <c r="R297" s="22" t="n">
        <f aca="false">IF(OR($A297="",N(M297)=0),0,CEILING(M297*(1+IF($O297="",Taux_Jur,$O297))-0.005,Pas_Arrondi))</f>
        <v>0</v>
      </c>
      <c r="S297" s="22" t="n">
        <f aca="false">IF(OR($A297="",N(N297)=0),0,CEILING(N297*(1+IF($O297="",Taux_PA,$O297))-0.005,Pas_Arrondi))</f>
        <v>0</v>
      </c>
      <c r="T297" s="22" t="str">
        <f aca="false">IF($A297="","",SUM(K297:N297))</f>
        <v/>
      </c>
      <c r="U297" s="22" t="str">
        <f aca="false">IF($A297="","",SUM(P297:S297))</f>
        <v/>
      </c>
      <c r="V297" s="22" t="str">
        <f aca="false">IF($A297="","",U297-T297)</f>
        <v/>
      </c>
      <c r="W297" s="23" t="str">
        <f aca="false">IF(OR($A297="",N(T297)=0),"",V297/T297)</f>
        <v/>
      </c>
      <c r="X297" s="18"/>
      <c r="Y297" s="18"/>
    </row>
    <row r="298" customFormat="false" ht="15" hidden="false" customHeight="false" outlineLevel="0" collapsed="false">
      <c r="A298" s="18"/>
      <c r="B298" s="18"/>
      <c r="C298" s="18"/>
      <c r="D298" s="18"/>
      <c r="E298" s="18"/>
      <c r="F298" s="18"/>
      <c r="G298" s="18"/>
      <c r="H298" s="19"/>
      <c r="I298" s="18"/>
      <c r="J298" s="18"/>
      <c r="K298" s="20"/>
      <c r="L298" s="20"/>
      <c r="M298" s="20"/>
      <c r="N298" s="20"/>
      <c r="O298" s="21"/>
      <c r="P298" s="22" t="n">
        <f aca="false">IF(OR($A298="",N(K298)=0),0,CEILING(K298*(1+IF($O298="",Taux_Compta,$O298))-0.005,Pas_Arrondi))</f>
        <v>0</v>
      </c>
      <c r="Q298" s="22" t="n">
        <f aca="false">IF(OR($A298="",N(L298)=0),0,CEILING(L298*(1+IF($O298="",Taux_Paye,$O298))-0.005,Pas_Arrondi))</f>
        <v>0</v>
      </c>
      <c r="R298" s="22" t="n">
        <f aca="false">IF(OR($A298="",N(M298)=0),0,CEILING(M298*(1+IF($O298="",Taux_Jur,$O298))-0.005,Pas_Arrondi))</f>
        <v>0</v>
      </c>
      <c r="S298" s="22" t="n">
        <f aca="false">IF(OR($A298="",N(N298)=0),0,CEILING(N298*(1+IF($O298="",Taux_PA,$O298))-0.005,Pas_Arrondi))</f>
        <v>0</v>
      </c>
      <c r="T298" s="22" t="str">
        <f aca="false">IF($A298="","",SUM(K298:N298))</f>
        <v/>
      </c>
      <c r="U298" s="22" t="str">
        <f aca="false">IF($A298="","",SUM(P298:S298))</f>
        <v/>
      </c>
      <c r="V298" s="22" t="str">
        <f aca="false">IF($A298="","",U298-T298)</f>
        <v/>
      </c>
      <c r="W298" s="23" t="str">
        <f aca="false">IF(OR($A298="",N(T298)=0),"",V298/T298)</f>
        <v/>
      </c>
      <c r="X298" s="18"/>
      <c r="Y298" s="18"/>
    </row>
    <row r="299" customFormat="false" ht="15" hidden="false" customHeight="false" outlineLevel="0" collapsed="false">
      <c r="A299" s="18"/>
      <c r="B299" s="18"/>
      <c r="C299" s="18"/>
      <c r="D299" s="18"/>
      <c r="E299" s="18"/>
      <c r="F299" s="18"/>
      <c r="G299" s="18"/>
      <c r="H299" s="19"/>
      <c r="I299" s="18"/>
      <c r="J299" s="18"/>
      <c r="K299" s="20"/>
      <c r="L299" s="20"/>
      <c r="M299" s="20"/>
      <c r="N299" s="20"/>
      <c r="O299" s="21"/>
      <c r="P299" s="22" t="n">
        <f aca="false">IF(OR($A299="",N(K299)=0),0,CEILING(K299*(1+IF($O299="",Taux_Compta,$O299))-0.005,Pas_Arrondi))</f>
        <v>0</v>
      </c>
      <c r="Q299" s="22" t="n">
        <f aca="false">IF(OR($A299="",N(L299)=0),0,CEILING(L299*(1+IF($O299="",Taux_Paye,$O299))-0.005,Pas_Arrondi))</f>
        <v>0</v>
      </c>
      <c r="R299" s="22" t="n">
        <f aca="false">IF(OR($A299="",N(M299)=0),0,CEILING(M299*(1+IF($O299="",Taux_Jur,$O299))-0.005,Pas_Arrondi))</f>
        <v>0</v>
      </c>
      <c r="S299" s="22" t="n">
        <f aca="false">IF(OR($A299="",N(N299)=0),0,CEILING(N299*(1+IF($O299="",Taux_PA,$O299))-0.005,Pas_Arrondi))</f>
        <v>0</v>
      </c>
      <c r="T299" s="22" t="str">
        <f aca="false">IF($A299="","",SUM(K299:N299))</f>
        <v/>
      </c>
      <c r="U299" s="22" t="str">
        <f aca="false">IF($A299="","",SUM(P299:S299))</f>
        <v/>
      </c>
      <c r="V299" s="22" t="str">
        <f aca="false">IF($A299="","",U299-T299)</f>
        <v/>
      </c>
      <c r="W299" s="23" t="str">
        <f aca="false">IF(OR($A299="",N(T299)=0),"",V299/T299)</f>
        <v/>
      </c>
      <c r="X299" s="18"/>
      <c r="Y299" s="18"/>
    </row>
    <row r="300" customFormat="false" ht="15" hidden="false" customHeight="false" outlineLevel="0" collapsed="false">
      <c r="A300" s="18"/>
      <c r="B300" s="18"/>
      <c r="C300" s="18"/>
      <c r="D300" s="18"/>
      <c r="E300" s="18"/>
      <c r="F300" s="18"/>
      <c r="G300" s="18"/>
      <c r="H300" s="19"/>
      <c r="I300" s="18"/>
      <c r="J300" s="18"/>
      <c r="K300" s="20"/>
      <c r="L300" s="20"/>
      <c r="M300" s="20"/>
      <c r="N300" s="20"/>
      <c r="O300" s="21"/>
      <c r="P300" s="22" t="n">
        <f aca="false">IF(OR($A300="",N(K300)=0),0,CEILING(K300*(1+IF($O300="",Taux_Compta,$O300))-0.005,Pas_Arrondi))</f>
        <v>0</v>
      </c>
      <c r="Q300" s="22" t="n">
        <f aca="false">IF(OR($A300="",N(L300)=0),0,CEILING(L300*(1+IF($O300="",Taux_Paye,$O300))-0.005,Pas_Arrondi))</f>
        <v>0</v>
      </c>
      <c r="R300" s="22" t="n">
        <f aca="false">IF(OR($A300="",N(M300)=0),0,CEILING(M300*(1+IF($O300="",Taux_Jur,$O300))-0.005,Pas_Arrondi))</f>
        <v>0</v>
      </c>
      <c r="S300" s="22" t="n">
        <f aca="false">IF(OR($A300="",N(N300)=0),0,CEILING(N300*(1+IF($O300="",Taux_PA,$O300))-0.005,Pas_Arrondi))</f>
        <v>0</v>
      </c>
      <c r="T300" s="22" t="str">
        <f aca="false">IF($A300="","",SUM(K300:N300))</f>
        <v/>
      </c>
      <c r="U300" s="22" t="str">
        <f aca="false">IF($A300="","",SUM(P300:S300))</f>
        <v/>
      </c>
      <c r="V300" s="22" t="str">
        <f aca="false">IF($A300="","",U300-T300)</f>
        <v/>
      </c>
      <c r="W300" s="23" t="str">
        <f aca="false">IF(OR($A300="",N(T300)=0),"",V300/T300)</f>
        <v/>
      </c>
      <c r="X300" s="18"/>
      <c r="Y300" s="18"/>
    </row>
    <row r="301" customFormat="false" ht="15" hidden="false" customHeight="false" outlineLevel="0" collapsed="false">
      <c r="A301" s="18"/>
      <c r="B301" s="18"/>
      <c r="C301" s="18"/>
      <c r="D301" s="18"/>
      <c r="E301" s="18"/>
      <c r="F301" s="18"/>
      <c r="G301" s="18"/>
      <c r="H301" s="19"/>
      <c r="I301" s="18"/>
      <c r="J301" s="18"/>
      <c r="K301" s="20"/>
      <c r="L301" s="20"/>
      <c r="M301" s="20"/>
      <c r="N301" s="20"/>
      <c r="O301" s="21"/>
      <c r="P301" s="22" t="n">
        <f aca="false">IF(OR($A301="",N(K301)=0),0,CEILING(K301*(1+IF($O301="",Taux_Compta,$O301))-0.005,Pas_Arrondi))</f>
        <v>0</v>
      </c>
      <c r="Q301" s="22" t="n">
        <f aca="false">IF(OR($A301="",N(L301)=0),0,CEILING(L301*(1+IF($O301="",Taux_Paye,$O301))-0.005,Pas_Arrondi))</f>
        <v>0</v>
      </c>
      <c r="R301" s="22" t="n">
        <f aca="false">IF(OR($A301="",N(M301)=0),0,CEILING(M301*(1+IF($O301="",Taux_Jur,$O301))-0.005,Pas_Arrondi))</f>
        <v>0</v>
      </c>
      <c r="S301" s="22" t="n">
        <f aca="false">IF(OR($A301="",N(N301)=0),0,CEILING(N301*(1+IF($O301="",Taux_PA,$O301))-0.005,Pas_Arrondi))</f>
        <v>0</v>
      </c>
      <c r="T301" s="22" t="str">
        <f aca="false">IF($A301="","",SUM(K301:N301))</f>
        <v/>
      </c>
      <c r="U301" s="22" t="str">
        <f aca="false">IF($A301="","",SUM(P301:S301))</f>
        <v/>
      </c>
      <c r="V301" s="22" t="str">
        <f aca="false">IF($A301="","",U301-T301)</f>
        <v/>
      </c>
      <c r="W301" s="23" t="str">
        <f aca="false">IF(OR($A301="",N(T301)=0),"",V301/T301)</f>
        <v/>
      </c>
      <c r="X301" s="18"/>
      <c r="Y301" s="18"/>
    </row>
    <row r="302" customFormat="false" ht="15" hidden="false" customHeight="false" outlineLevel="0" collapsed="false">
      <c r="A302" s="18"/>
      <c r="B302" s="18"/>
      <c r="C302" s="18"/>
      <c r="D302" s="18"/>
      <c r="E302" s="18"/>
      <c r="F302" s="18"/>
      <c r="G302" s="18"/>
      <c r="H302" s="19"/>
      <c r="I302" s="18"/>
      <c r="J302" s="18"/>
      <c r="K302" s="20"/>
      <c r="L302" s="20"/>
      <c r="M302" s="20"/>
      <c r="N302" s="20"/>
      <c r="O302" s="21"/>
      <c r="P302" s="22" t="n">
        <f aca="false">IF(OR($A302="",N(K302)=0),0,CEILING(K302*(1+IF($O302="",Taux_Compta,$O302))-0.005,Pas_Arrondi))</f>
        <v>0</v>
      </c>
      <c r="Q302" s="22" t="n">
        <f aca="false">IF(OR($A302="",N(L302)=0),0,CEILING(L302*(1+IF($O302="",Taux_Paye,$O302))-0.005,Pas_Arrondi))</f>
        <v>0</v>
      </c>
      <c r="R302" s="22" t="n">
        <f aca="false">IF(OR($A302="",N(M302)=0),0,CEILING(M302*(1+IF($O302="",Taux_Jur,$O302))-0.005,Pas_Arrondi))</f>
        <v>0</v>
      </c>
      <c r="S302" s="22" t="n">
        <f aca="false">IF(OR($A302="",N(N302)=0),0,CEILING(N302*(1+IF($O302="",Taux_PA,$O302))-0.005,Pas_Arrondi))</f>
        <v>0</v>
      </c>
      <c r="T302" s="22" t="str">
        <f aca="false">IF($A302="","",SUM(K302:N302))</f>
        <v/>
      </c>
      <c r="U302" s="22" t="str">
        <f aca="false">IF($A302="","",SUM(P302:S302))</f>
        <v/>
      </c>
      <c r="V302" s="22" t="str">
        <f aca="false">IF($A302="","",U302-T302)</f>
        <v/>
      </c>
      <c r="W302" s="23" t="str">
        <f aca="false">IF(OR($A302="",N(T302)=0),"",V302/T302)</f>
        <v/>
      </c>
      <c r="X302" s="18"/>
      <c r="Y302" s="18"/>
    </row>
    <row r="303" customFormat="false" ht="15" hidden="false" customHeight="false" outlineLevel="0" collapsed="false">
      <c r="A303" s="18"/>
      <c r="B303" s="18"/>
      <c r="C303" s="18"/>
      <c r="D303" s="18"/>
      <c r="E303" s="18"/>
      <c r="F303" s="18"/>
      <c r="G303" s="18"/>
      <c r="H303" s="19"/>
      <c r="I303" s="18"/>
      <c r="J303" s="18"/>
      <c r="K303" s="20"/>
      <c r="L303" s="20"/>
      <c r="M303" s="20"/>
      <c r="N303" s="20"/>
      <c r="O303" s="21"/>
      <c r="P303" s="22" t="n">
        <f aca="false">IF(OR($A303="",N(K303)=0),0,CEILING(K303*(1+IF($O303="",Taux_Compta,$O303))-0.005,Pas_Arrondi))</f>
        <v>0</v>
      </c>
      <c r="Q303" s="22" t="n">
        <f aca="false">IF(OR($A303="",N(L303)=0),0,CEILING(L303*(1+IF($O303="",Taux_Paye,$O303))-0.005,Pas_Arrondi))</f>
        <v>0</v>
      </c>
      <c r="R303" s="22" t="n">
        <f aca="false">IF(OR($A303="",N(M303)=0),0,CEILING(M303*(1+IF($O303="",Taux_Jur,$O303))-0.005,Pas_Arrondi))</f>
        <v>0</v>
      </c>
      <c r="S303" s="22" t="n">
        <f aca="false">IF(OR($A303="",N(N303)=0),0,CEILING(N303*(1+IF($O303="",Taux_PA,$O303))-0.005,Pas_Arrondi))</f>
        <v>0</v>
      </c>
      <c r="T303" s="22" t="str">
        <f aca="false">IF($A303="","",SUM(K303:N303))</f>
        <v/>
      </c>
      <c r="U303" s="22" t="str">
        <f aca="false">IF($A303="","",SUM(P303:S303))</f>
        <v/>
      </c>
      <c r="V303" s="22" t="str">
        <f aca="false">IF($A303="","",U303-T303)</f>
        <v/>
      </c>
      <c r="W303" s="23" t="str">
        <f aca="false">IF(OR($A303="",N(T303)=0),"",V303/T303)</f>
        <v/>
      </c>
      <c r="X303" s="18"/>
      <c r="Y303" s="18"/>
    </row>
    <row r="304" customFormat="false" ht="15" hidden="false" customHeight="false" outlineLevel="0" collapsed="false">
      <c r="A304" s="18"/>
      <c r="B304" s="18"/>
      <c r="C304" s="18"/>
      <c r="D304" s="18"/>
      <c r="E304" s="18"/>
      <c r="F304" s="18"/>
      <c r="G304" s="18"/>
      <c r="H304" s="19"/>
      <c r="I304" s="18"/>
      <c r="J304" s="18"/>
      <c r="K304" s="20"/>
      <c r="L304" s="20"/>
      <c r="M304" s="20"/>
      <c r="N304" s="20"/>
      <c r="O304" s="21"/>
      <c r="P304" s="22" t="n">
        <f aca="false">IF(OR($A304="",N(K304)=0),0,CEILING(K304*(1+IF($O304="",Taux_Compta,$O304))-0.005,Pas_Arrondi))</f>
        <v>0</v>
      </c>
      <c r="Q304" s="22" t="n">
        <f aca="false">IF(OR($A304="",N(L304)=0),0,CEILING(L304*(1+IF($O304="",Taux_Paye,$O304))-0.005,Pas_Arrondi))</f>
        <v>0</v>
      </c>
      <c r="R304" s="22" t="n">
        <f aca="false">IF(OR($A304="",N(M304)=0),0,CEILING(M304*(1+IF($O304="",Taux_Jur,$O304))-0.005,Pas_Arrondi))</f>
        <v>0</v>
      </c>
      <c r="S304" s="22" t="n">
        <f aca="false">IF(OR($A304="",N(N304)=0),0,CEILING(N304*(1+IF($O304="",Taux_PA,$O304))-0.005,Pas_Arrondi))</f>
        <v>0</v>
      </c>
      <c r="T304" s="22" t="str">
        <f aca="false">IF($A304="","",SUM(K304:N304))</f>
        <v/>
      </c>
      <c r="U304" s="22" t="str">
        <f aca="false">IF($A304="","",SUM(P304:S304))</f>
        <v/>
      </c>
      <c r="V304" s="22" t="str">
        <f aca="false">IF($A304="","",U304-T304)</f>
        <v/>
      </c>
      <c r="W304" s="23" t="str">
        <f aca="false">IF(OR($A304="",N(T304)=0),"",V304/T304)</f>
        <v/>
      </c>
      <c r="X304" s="18"/>
      <c r="Y304" s="18"/>
    </row>
    <row r="305" customFormat="false" ht="15" hidden="false" customHeight="false" outlineLevel="0" collapsed="false">
      <c r="A305" s="18"/>
      <c r="B305" s="18"/>
      <c r="C305" s="18"/>
      <c r="D305" s="18"/>
      <c r="E305" s="18"/>
      <c r="F305" s="18"/>
      <c r="G305" s="18"/>
      <c r="H305" s="19"/>
      <c r="I305" s="18"/>
      <c r="J305" s="18"/>
      <c r="K305" s="20"/>
      <c r="L305" s="20"/>
      <c r="M305" s="20"/>
      <c r="N305" s="20"/>
      <c r="O305" s="21"/>
      <c r="P305" s="22" t="n">
        <f aca="false">IF(OR($A305="",N(K305)=0),0,CEILING(K305*(1+IF($O305="",Taux_Compta,$O305))-0.005,Pas_Arrondi))</f>
        <v>0</v>
      </c>
      <c r="Q305" s="22" t="n">
        <f aca="false">IF(OR($A305="",N(L305)=0),0,CEILING(L305*(1+IF($O305="",Taux_Paye,$O305))-0.005,Pas_Arrondi))</f>
        <v>0</v>
      </c>
      <c r="R305" s="22" t="n">
        <f aca="false">IF(OR($A305="",N(M305)=0),0,CEILING(M305*(1+IF($O305="",Taux_Jur,$O305))-0.005,Pas_Arrondi))</f>
        <v>0</v>
      </c>
      <c r="S305" s="22" t="n">
        <f aca="false">IF(OR($A305="",N(N305)=0),0,CEILING(N305*(1+IF($O305="",Taux_PA,$O305))-0.005,Pas_Arrondi))</f>
        <v>0</v>
      </c>
      <c r="T305" s="22" t="str">
        <f aca="false">IF($A305="","",SUM(K305:N305))</f>
        <v/>
      </c>
      <c r="U305" s="22" t="str">
        <f aca="false">IF($A305="","",SUM(P305:S305))</f>
        <v/>
      </c>
      <c r="V305" s="22" t="str">
        <f aca="false">IF($A305="","",U305-T305)</f>
        <v/>
      </c>
      <c r="W305" s="23" t="str">
        <f aca="false">IF(OR($A305="",N(T305)=0),"",V305/T305)</f>
        <v/>
      </c>
      <c r="X305" s="18"/>
      <c r="Y305" s="18"/>
    </row>
    <row r="306" customFormat="false" ht="15" hidden="false" customHeight="false" outlineLevel="0" collapsed="false">
      <c r="A306" s="18"/>
      <c r="B306" s="18"/>
      <c r="C306" s="18"/>
      <c r="D306" s="18"/>
      <c r="E306" s="18"/>
      <c r="F306" s="18"/>
      <c r="G306" s="18"/>
      <c r="H306" s="19"/>
      <c r="I306" s="18"/>
      <c r="J306" s="18"/>
      <c r="K306" s="20"/>
      <c r="L306" s="20"/>
      <c r="M306" s="20"/>
      <c r="N306" s="20"/>
      <c r="O306" s="21"/>
      <c r="P306" s="22" t="n">
        <f aca="false">IF(OR($A306="",N(K306)=0),0,CEILING(K306*(1+IF($O306="",Taux_Compta,$O306))-0.005,Pas_Arrondi))</f>
        <v>0</v>
      </c>
      <c r="Q306" s="22" t="n">
        <f aca="false">IF(OR($A306="",N(L306)=0),0,CEILING(L306*(1+IF($O306="",Taux_Paye,$O306))-0.005,Pas_Arrondi))</f>
        <v>0</v>
      </c>
      <c r="R306" s="22" t="n">
        <f aca="false">IF(OR($A306="",N(M306)=0),0,CEILING(M306*(1+IF($O306="",Taux_Jur,$O306))-0.005,Pas_Arrondi))</f>
        <v>0</v>
      </c>
      <c r="S306" s="22" t="n">
        <f aca="false">IF(OR($A306="",N(N306)=0),0,CEILING(N306*(1+IF($O306="",Taux_PA,$O306))-0.005,Pas_Arrondi))</f>
        <v>0</v>
      </c>
      <c r="T306" s="22" t="str">
        <f aca="false">IF($A306="","",SUM(K306:N306))</f>
        <v/>
      </c>
      <c r="U306" s="22" t="str">
        <f aca="false">IF($A306="","",SUM(P306:S306))</f>
        <v/>
      </c>
      <c r="V306" s="22" t="str">
        <f aca="false">IF($A306="","",U306-T306)</f>
        <v/>
      </c>
      <c r="W306" s="23" t="str">
        <f aca="false">IF(OR($A306="",N(T306)=0),"",V306/T306)</f>
        <v/>
      </c>
      <c r="X306" s="18"/>
      <c r="Y306" s="18"/>
    </row>
    <row r="307" customFormat="false" ht="15" hidden="false" customHeight="false" outlineLevel="0" collapsed="false">
      <c r="A307" s="18"/>
      <c r="B307" s="18"/>
      <c r="C307" s="18"/>
      <c r="D307" s="18"/>
      <c r="E307" s="18"/>
      <c r="F307" s="18"/>
      <c r="G307" s="18"/>
      <c r="H307" s="19"/>
      <c r="I307" s="18"/>
      <c r="J307" s="18"/>
      <c r="K307" s="20"/>
      <c r="L307" s="20"/>
      <c r="M307" s="20"/>
      <c r="N307" s="20"/>
      <c r="O307" s="21"/>
      <c r="P307" s="22" t="n">
        <f aca="false">IF(OR($A307="",N(K307)=0),0,CEILING(K307*(1+IF($O307="",Taux_Compta,$O307))-0.005,Pas_Arrondi))</f>
        <v>0</v>
      </c>
      <c r="Q307" s="22" t="n">
        <f aca="false">IF(OR($A307="",N(L307)=0),0,CEILING(L307*(1+IF($O307="",Taux_Paye,$O307))-0.005,Pas_Arrondi))</f>
        <v>0</v>
      </c>
      <c r="R307" s="22" t="n">
        <f aca="false">IF(OR($A307="",N(M307)=0),0,CEILING(M307*(1+IF($O307="",Taux_Jur,$O307))-0.005,Pas_Arrondi))</f>
        <v>0</v>
      </c>
      <c r="S307" s="22" t="n">
        <f aca="false">IF(OR($A307="",N(N307)=0),0,CEILING(N307*(1+IF($O307="",Taux_PA,$O307))-0.005,Pas_Arrondi))</f>
        <v>0</v>
      </c>
      <c r="T307" s="22" t="str">
        <f aca="false">IF($A307="","",SUM(K307:N307))</f>
        <v/>
      </c>
      <c r="U307" s="22" t="str">
        <f aca="false">IF($A307="","",SUM(P307:S307))</f>
        <v/>
      </c>
      <c r="V307" s="22" t="str">
        <f aca="false">IF($A307="","",U307-T307)</f>
        <v/>
      </c>
      <c r="W307" s="23" t="str">
        <f aca="false">IF(OR($A307="",N(T307)=0),"",V307/T307)</f>
        <v/>
      </c>
      <c r="X307" s="18"/>
      <c r="Y307" s="18"/>
    </row>
    <row r="308" customFormat="false" ht="15" hidden="false" customHeight="false" outlineLevel="0" collapsed="false">
      <c r="A308" s="18"/>
      <c r="B308" s="18"/>
      <c r="C308" s="18"/>
      <c r="D308" s="18"/>
      <c r="E308" s="18"/>
      <c r="F308" s="18"/>
      <c r="G308" s="18"/>
      <c r="H308" s="19"/>
      <c r="I308" s="18"/>
      <c r="J308" s="18"/>
      <c r="K308" s="20"/>
      <c r="L308" s="20"/>
      <c r="M308" s="20"/>
      <c r="N308" s="20"/>
      <c r="O308" s="21"/>
      <c r="P308" s="22" t="n">
        <f aca="false">IF(OR($A308="",N(K308)=0),0,CEILING(K308*(1+IF($O308="",Taux_Compta,$O308))-0.005,Pas_Arrondi))</f>
        <v>0</v>
      </c>
      <c r="Q308" s="22" t="n">
        <f aca="false">IF(OR($A308="",N(L308)=0),0,CEILING(L308*(1+IF($O308="",Taux_Paye,$O308))-0.005,Pas_Arrondi))</f>
        <v>0</v>
      </c>
      <c r="R308" s="22" t="n">
        <f aca="false">IF(OR($A308="",N(M308)=0),0,CEILING(M308*(1+IF($O308="",Taux_Jur,$O308))-0.005,Pas_Arrondi))</f>
        <v>0</v>
      </c>
      <c r="S308" s="22" t="n">
        <f aca="false">IF(OR($A308="",N(N308)=0),0,CEILING(N308*(1+IF($O308="",Taux_PA,$O308))-0.005,Pas_Arrondi))</f>
        <v>0</v>
      </c>
      <c r="T308" s="22" t="str">
        <f aca="false">IF($A308="","",SUM(K308:N308))</f>
        <v/>
      </c>
      <c r="U308" s="22" t="str">
        <f aca="false">IF($A308="","",SUM(P308:S308))</f>
        <v/>
      </c>
      <c r="V308" s="22" t="str">
        <f aca="false">IF($A308="","",U308-T308)</f>
        <v/>
      </c>
      <c r="W308" s="23" t="str">
        <f aca="false">IF(OR($A308="",N(T308)=0),"",V308/T308)</f>
        <v/>
      </c>
      <c r="X308" s="18"/>
      <c r="Y308" s="18"/>
    </row>
    <row r="309" customFormat="false" ht="15" hidden="false" customHeight="false" outlineLevel="0" collapsed="false">
      <c r="A309" s="18"/>
      <c r="B309" s="18"/>
      <c r="C309" s="18"/>
      <c r="D309" s="18"/>
      <c r="E309" s="18"/>
      <c r="F309" s="18"/>
      <c r="G309" s="18"/>
      <c r="H309" s="19"/>
      <c r="I309" s="18"/>
      <c r="J309" s="18"/>
      <c r="K309" s="20"/>
      <c r="L309" s="20"/>
      <c r="M309" s="20"/>
      <c r="N309" s="20"/>
      <c r="O309" s="21"/>
      <c r="P309" s="22" t="n">
        <f aca="false">IF(OR($A309="",N(K309)=0),0,CEILING(K309*(1+IF($O309="",Taux_Compta,$O309))-0.005,Pas_Arrondi))</f>
        <v>0</v>
      </c>
      <c r="Q309" s="22" t="n">
        <f aca="false">IF(OR($A309="",N(L309)=0),0,CEILING(L309*(1+IF($O309="",Taux_Paye,$O309))-0.005,Pas_Arrondi))</f>
        <v>0</v>
      </c>
      <c r="R309" s="22" t="n">
        <f aca="false">IF(OR($A309="",N(M309)=0),0,CEILING(M309*(1+IF($O309="",Taux_Jur,$O309))-0.005,Pas_Arrondi))</f>
        <v>0</v>
      </c>
      <c r="S309" s="22" t="n">
        <f aca="false">IF(OR($A309="",N(N309)=0),0,CEILING(N309*(1+IF($O309="",Taux_PA,$O309))-0.005,Pas_Arrondi))</f>
        <v>0</v>
      </c>
      <c r="T309" s="22" t="str">
        <f aca="false">IF($A309="","",SUM(K309:N309))</f>
        <v/>
      </c>
      <c r="U309" s="22" t="str">
        <f aca="false">IF($A309="","",SUM(P309:S309))</f>
        <v/>
      </c>
      <c r="V309" s="22" t="str">
        <f aca="false">IF($A309="","",U309-T309)</f>
        <v/>
      </c>
      <c r="W309" s="23" t="str">
        <f aca="false">IF(OR($A309="",N(T309)=0),"",V309/T309)</f>
        <v/>
      </c>
      <c r="X309" s="18"/>
      <c r="Y309" s="18"/>
    </row>
    <row r="310" customFormat="false" ht="15" hidden="false" customHeight="false" outlineLevel="0" collapsed="false">
      <c r="A310" s="18"/>
      <c r="B310" s="18"/>
      <c r="C310" s="18"/>
      <c r="D310" s="18"/>
      <c r="E310" s="18"/>
      <c r="F310" s="18"/>
      <c r="G310" s="18"/>
      <c r="H310" s="19"/>
      <c r="I310" s="18"/>
      <c r="J310" s="18"/>
      <c r="K310" s="20"/>
      <c r="L310" s="20"/>
      <c r="M310" s="20"/>
      <c r="N310" s="20"/>
      <c r="O310" s="21"/>
      <c r="P310" s="22" t="n">
        <f aca="false">IF(OR($A310="",N(K310)=0),0,CEILING(K310*(1+IF($O310="",Taux_Compta,$O310))-0.005,Pas_Arrondi))</f>
        <v>0</v>
      </c>
      <c r="Q310" s="22" t="n">
        <f aca="false">IF(OR($A310="",N(L310)=0),0,CEILING(L310*(1+IF($O310="",Taux_Paye,$O310))-0.005,Pas_Arrondi))</f>
        <v>0</v>
      </c>
      <c r="R310" s="22" t="n">
        <f aca="false">IF(OR($A310="",N(M310)=0),0,CEILING(M310*(1+IF($O310="",Taux_Jur,$O310))-0.005,Pas_Arrondi))</f>
        <v>0</v>
      </c>
      <c r="S310" s="22" t="n">
        <f aca="false">IF(OR($A310="",N(N310)=0),0,CEILING(N310*(1+IF($O310="",Taux_PA,$O310))-0.005,Pas_Arrondi))</f>
        <v>0</v>
      </c>
      <c r="T310" s="22" t="str">
        <f aca="false">IF($A310="","",SUM(K310:N310))</f>
        <v/>
      </c>
      <c r="U310" s="22" t="str">
        <f aca="false">IF($A310="","",SUM(P310:S310))</f>
        <v/>
      </c>
      <c r="V310" s="22" t="str">
        <f aca="false">IF($A310="","",U310-T310)</f>
        <v/>
      </c>
      <c r="W310" s="23" t="str">
        <f aca="false">IF(OR($A310="",N(T310)=0),"",V310/T310)</f>
        <v/>
      </c>
      <c r="X310" s="18"/>
      <c r="Y310" s="18"/>
    </row>
    <row r="311" customFormat="false" ht="15" hidden="false" customHeight="false" outlineLevel="0" collapsed="false">
      <c r="A311" s="18"/>
      <c r="B311" s="18"/>
      <c r="C311" s="18"/>
      <c r="D311" s="18"/>
      <c r="E311" s="18"/>
      <c r="F311" s="18"/>
      <c r="G311" s="18"/>
      <c r="H311" s="19"/>
      <c r="I311" s="18"/>
      <c r="J311" s="18"/>
      <c r="K311" s="20"/>
      <c r="L311" s="20"/>
      <c r="M311" s="20"/>
      <c r="N311" s="20"/>
      <c r="O311" s="21"/>
      <c r="P311" s="22" t="n">
        <f aca="false">IF(OR($A311="",N(K311)=0),0,CEILING(K311*(1+IF($O311="",Taux_Compta,$O311))-0.005,Pas_Arrondi))</f>
        <v>0</v>
      </c>
      <c r="Q311" s="22" t="n">
        <f aca="false">IF(OR($A311="",N(L311)=0),0,CEILING(L311*(1+IF($O311="",Taux_Paye,$O311))-0.005,Pas_Arrondi))</f>
        <v>0</v>
      </c>
      <c r="R311" s="22" t="n">
        <f aca="false">IF(OR($A311="",N(M311)=0),0,CEILING(M311*(1+IF($O311="",Taux_Jur,$O311))-0.005,Pas_Arrondi))</f>
        <v>0</v>
      </c>
      <c r="S311" s="22" t="n">
        <f aca="false">IF(OR($A311="",N(N311)=0),0,CEILING(N311*(1+IF($O311="",Taux_PA,$O311))-0.005,Pas_Arrondi))</f>
        <v>0</v>
      </c>
      <c r="T311" s="22" t="str">
        <f aca="false">IF($A311="","",SUM(K311:N311))</f>
        <v/>
      </c>
      <c r="U311" s="22" t="str">
        <f aca="false">IF($A311="","",SUM(P311:S311))</f>
        <v/>
      </c>
      <c r="V311" s="22" t="str">
        <f aca="false">IF($A311="","",U311-T311)</f>
        <v/>
      </c>
      <c r="W311" s="23" t="str">
        <f aca="false">IF(OR($A311="",N(T311)=0),"",V311/T311)</f>
        <v/>
      </c>
      <c r="X311" s="18"/>
      <c r="Y311" s="18"/>
    </row>
    <row r="312" customFormat="false" ht="15" hidden="false" customHeight="false" outlineLevel="0" collapsed="false">
      <c r="A312" s="18"/>
      <c r="B312" s="18"/>
      <c r="C312" s="18"/>
      <c r="D312" s="18"/>
      <c r="E312" s="18"/>
      <c r="F312" s="18"/>
      <c r="G312" s="18"/>
      <c r="H312" s="19"/>
      <c r="I312" s="18"/>
      <c r="J312" s="18"/>
      <c r="K312" s="20"/>
      <c r="L312" s="20"/>
      <c r="M312" s="20"/>
      <c r="N312" s="20"/>
      <c r="O312" s="21"/>
      <c r="P312" s="22" t="n">
        <f aca="false">IF(OR($A312="",N(K312)=0),0,CEILING(K312*(1+IF($O312="",Taux_Compta,$O312))-0.005,Pas_Arrondi))</f>
        <v>0</v>
      </c>
      <c r="Q312" s="22" t="n">
        <f aca="false">IF(OR($A312="",N(L312)=0),0,CEILING(L312*(1+IF($O312="",Taux_Paye,$O312))-0.005,Pas_Arrondi))</f>
        <v>0</v>
      </c>
      <c r="R312" s="22" t="n">
        <f aca="false">IF(OR($A312="",N(M312)=0),0,CEILING(M312*(1+IF($O312="",Taux_Jur,$O312))-0.005,Pas_Arrondi))</f>
        <v>0</v>
      </c>
      <c r="S312" s="22" t="n">
        <f aca="false">IF(OR($A312="",N(N312)=0),0,CEILING(N312*(1+IF($O312="",Taux_PA,$O312))-0.005,Pas_Arrondi))</f>
        <v>0</v>
      </c>
      <c r="T312" s="22" t="str">
        <f aca="false">IF($A312="","",SUM(K312:N312))</f>
        <v/>
      </c>
      <c r="U312" s="22" t="str">
        <f aca="false">IF($A312="","",SUM(P312:S312))</f>
        <v/>
      </c>
      <c r="V312" s="22" t="str">
        <f aca="false">IF($A312="","",U312-T312)</f>
        <v/>
      </c>
      <c r="W312" s="23" t="str">
        <f aca="false">IF(OR($A312="",N(T312)=0),"",V312/T312)</f>
        <v/>
      </c>
      <c r="X312" s="18"/>
      <c r="Y312" s="18"/>
    </row>
    <row r="313" customFormat="false" ht="15" hidden="false" customHeight="false" outlineLevel="0" collapsed="false">
      <c r="A313" s="18"/>
      <c r="B313" s="18"/>
      <c r="C313" s="18"/>
      <c r="D313" s="18"/>
      <c r="E313" s="18"/>
      <c r="F313" s="18"/>
      <c r="G313" s="18"/>
      <c r="H313" s="19"/>
      <c r="I313" s="18"/>
      <c r="J313" s="18"/>
      <c r="K313" s="20"/>
      <c r="L313" s="20"/>
      <c r="M313" s="20"/>
      <c r="N313" s="20"/>
      <c r="O313" s="21"/>
      <c r="P313" s="22" t="n">
        <f aca="false">IF(OR($A313="",N(K313)=0),0,CEILING(K313*(1+IF($O313="",Taux_Compta,$O313))-0.005,Pas_Arrondi))</f>
        <v>0</v>
      </c>
      <c r="Q313" s="22" t="n">
        <f aca="false">IF(OR($A313="",N(L313)=0),0,CEILING(L313*(1+IF($O313="",Taux_Paye,$O313))-0.005,Pas_Arrondi))</f>
        <v>0</v>
      </c>
      <c r="R313" s="22" t="n">
        <f aca="false">IF(OR($A313="",N(M313)=0),0,CEILING(M313*(1+IF($O313="",Taux_Jur,$O313))-0.005,Pas_Arrondi))</f>
        <v>0</v>
      </c>
      <c r="S313" s="22" t="n">
        <f aca="false">IF(OR($A313="",N(N313)=0),0,CEILING(N313*(1+IF($O313="",Taux_PA,$O313))-0.005,Pas_Arrondi))</f>
        <v>0</v>
      </c>
      <c r="T313" s="22" t="str">
        <f aca="false">IF($A313="","",SUM(K313:N313))</f>
        <v/>
      </c>
      <c r="U313" s="22" t="str">
        <f aca="false">IF($A313="","",SUM(P313:S313))</f>
        <v/>
      </c>
      <c r="V313" s="22" t="str">
        <f aca="false">IF($A313="","",U313-T313)</f>
        <v/>
      </c>
      <c r="W313" s="23" t="str">
        <f aca="false">IF(OR($A313="",N(T313)=0),"",V313/T313)</f>
        <v/>
      </c>
      <c r="X313" s="18"/>
      <c r="Y313" s="18"/>
    </row>
    <row r="314" customFormat="false" ht="15" hidden="false" customHeight="false" outlineLevel="0" collapsed="false">
      <c r="A314" s="18"/>
      <c r="B314" s="18"/>
      <c r="C314" s="18"/>
      <c r="D314" s="18"/>
      <c r="E314" s="18"/>
      <c r="F314" s="18"/>
      <c r="G314" s="18"/>
      <c r="H314" s="19"/>
      <c r="I314" s="18"/>
      <c r="J314" s="18"/>
      <c r="K314" s="20"/>
      <c r="L314" s="20"/>
      <c r="M314" s="20"/>
      <c r="N314" s="20"/>
      <c r="O314" s="21"/>
      <c r="P314" s="22" t="n">
        <f aca="false">IF(OR($A314="",N(K314)=0),0,CEILING(K314*(1+IF($O314="",Taux_Compta,$O314))-0.005,Pas_Arrondi))</f>
        <v>0</v>
      </c>
      <c r="Q314" s="22" t="n">
        <f aca="false">IF(OR($A314="",N(L314)=0),0,CEILING(L314*(1+IF($O314="",Taux_Paye,$O314))-0.005,Pas_Arrondi))</f>
        <v>0</v>
      </c>
      <c r="R314" s="22" t="n">
        <f aca="false">IF(OR($A314="",N(M314)=0),0,CEILING(M314*(1+IF($O314="",Taux_Jur,$O314))-0.005,Pas_Arrondi))</f>
        <v>0</v>
      </c>
      <c r="S314" s="22" t="n">
        <f aca="false">IF(OR($A314="",N(N314)=0),0,CEILING(N314*(1+IF($O314="",Taux_PA,$O314))-0.005,Pas_Arrondi))</f>
        <v>0</v>
      </c>
      <c r="T314" s="22" t="str">
        <f aca="false">IF($A314="","",SUM(K314:N314))</f>
        <v/>
      </c>
      <c r="U314" s="22" t="str">
        <f aca="false">IF($A314="","",SUM(P314:S314))</f>
        <v/>
      </c>
      <c r="V314" s="22" t="str">
        <f aca="false">IF($A314="","",U314-T314)</f>
        <v/>
      </c>
      <c r="W314" s="23" t="str">
        <f aca="false">IF(OR($A314="",N(T314)=0),"",V314/T314)</f>
        <v/>
      </c>
      <c r="X314" s="18"/>
      <c r="Y314" s="18"/>
    </row>
    <row r="315" customFormat="false" ht="15" hidden="false" customHeight="false" outlineLevel="0" collapsed="false">
      <c r="A315" s="18"/>
      <c r="B315" s="18"/>
      <c r="C315" s="18"/>
      <c r="D315" s="18"/>
      <c r="E315" s="18"/>
      <c r="F315" s="18"/>
      <c r="G315" s="18"/>
      <c r="H315" s="19"/>
      <c r="I315" s="18"/>
      <c r="J315" s="18"/>
      <c r="K315" s="20"/>
      <c r="L315" s="20"/>
      <c r="M315" s="20"/>
      <c r="N315" s="20"/>
      <c r="O315" s="21"/>
      <c r="P315" s="22" t="n">
        <f aca="false">IF(OR($A315="",N(K315)=0),0,CEILING(K315*(1+IF($O315="",Taux_Compta,$O315))-0.005,Pas_Arrondi))</f>
        <v>0</v>
      </c>
      <c r="Q315" s="22" t="n">
        <f aca="false">IF(OR($A315="",N(L315)=0),0,CEILING(L315*(1+IF($O315="",Taux_Paye,$O315))-0.005,Pas_Arrondi))</f>
        <v>0</v>
      </c>
      <c r="R315" s="22" t="n">
        <f aca="false">IF(OR($A315="",N(M315)=0),0,CEILING(M315*(1+IF($O315="",Taux_Jur,$O315))-0.005,Pas_Arrondi))</f>
        <v>0</v>
      </c>
      <c r="S315" s="22" t="n">
        <f aca="false">IF(OR($A315="",N(N315)=0),0,CEILING(N315*(1+IF($O315="",Taux_PA,$O315))-0.005,Pas_Arrondi))</f>
        <v>0</v>
      </c>
      <c r="T315" s="22" t="str">
        <f aca="false">IF($A315="","",SUM(K315:N315))</f>
        <v/>
      </c>
      <c r="U315" s="22" t="str">
        <f aca="false">IF($A315="","",SUM(P315:S315))</f>
        <v/>
      </c>
      <c r="V315" s="22" t="str">
        <f aca="false">IF($A315="","",U315-T315)</f>
        <v/>
      </c>
      <c r="W315" s="23" t="str">
        <f aca="false">IF(OR($A315="",N(T315)=0),"",V315/T315)</f>
        <v/>
      </c>
      <c r="X315" s="18"/>
      <c r="Y315" s="18"/>
    </row>
    <row r="316" customFormat="false" ht="15" hidden="false" customHeight="false" outlineLevel="0" collapsed="false">
      <c r="A316" s="18"/>
      <c r="B316" s="18"/>
      <c r="C316" s="18"/>
      <c r="D316" s="18"/>
      <c r="E316" s="18"/>
      <c r="F316" s="18"/>
      <c r="G316" s="18"/>
      <c r="H316" s="19"/>
      <c r="I316" s="18"/>
      <c r="J316" s="18"/>
      <c r="K316" s="20"/>
      <c r="L316" s="20"/>
      <c r="M316" s="20"/>
      <c r="N316" s="20"/>
      <c r="O316" s="21"/>
      <c r="P316" s="22" t="n">
        <f aca="false">IF(OR($A316="",N(K316)=0),0,CEILING(K316*(1+IF($O316="",Taux_Compta,$O316))-0.005,Pas_Arrondi))</f>
        <v>0</v>
      </c>
      <c r="Q316" s="22" t="n">
        <f aca="false">IF(OR($A316="",N(L316)=0),0,CEILING(L316*(1+IF($O316="",Taux_Paye,$O316))-0.005,Pas_Arrondi))</f>
        <v>0</v>
      </c>
      <c r="R316" s="22" t="n">
        <f aca="false">IF(OR($A316="",N(M316)=0),0,CEILING(M316*(1+IF($O316="",Taux_Jur,$O316))-0.005,Pas_Arrondi))</f>
        <v>0</v>
      </c>
      <c r="S316" s="22" t="n">
        <f aca="false">IF(OR($A316="",N(N316)=0),0,CEILING(N316*(1+IF($O316="",Taux_PA,$O316))-0.005,Pas_Arrondi))</f>
        <v>0</v>
      </c>
      <c r="T316" s="22" t="str">
        <f aca="false">IF($A316="","",SUM(K316:N316))</f>
        <v/>
      </c>
      <c r="U316" s="22" t="str">
        <f aca="false">IF($A316="","",SUM(P316:S316))</f>
        <v/>
      </c>
      <c r="V316" s="22" t="str">
        <f aca="false">IF($A316="","",U316-T316)</f>
        <v/>
      </c>
      <c r="W316" s="23" t="str">
        <f aca="false">IF(OR($A316="",N(T316)=0),"",V316/T316)</f>
        <v/>
      </c>
      <c r="X316" s="18"/>
      <c r="Y316" s="18"/>
    </row>
    <row r="317" customFormat="false" ht="15" hidden="false" customHeight="false" outlineLevel="0" collapsed="false">
      <c r="A317" s="18"/>
      <c r="B317" s="18"/>
      <c r="C317" s="18"/>
      <c r="D317" s="18"/>
      <c r="E317" s="18"/>
      <c r="F317" s="18"/>
      <c r="G317" s="18"/>
      <c r="H317" s="19"/>
      <c r="I317" s="18"/>
      <c r="J317" s="18"/>
      <c r="K317" s="20"/>
      <c r="L317" s="20"/>
      <c r="M317" s="20"/>
      <c r="N317" s="20"/>
      <c r="O317" s="21"/>
      <c r="P317" s="22" t="n">
        <f aca="false">IF(OR($A317="",N(K317)=0),0,CEILING(K317*(1+IF($O317="",Taux_Compta,$O317))-0.005,Pas_Arrondi))</f>
        <v>0</v>
      </c>
      <c r="Q317" s="22" t="n">
        <f aca="false">IF(OR($A317="",N(L317)=0),0,CEILING(L317*(1+IF($O317="",Taux_Paye,$O317))-0.005,Pas_Arrondi))</f>
        <v>0</v>
      </c>
      <c r="R317" s="22" t="n">
        <f aca="false">IF(OR($A317="",N(M317)=0),0,CEILING(M317*(1+IF($O317="",Taux_Jur,$O317))-0.005,Pas_Arrondi))</f>
        <v>0</v>
      </c>
      <c r="S317" s="22" t="n">
        <f aca="false">IF(OR($A317="",N(N317)=0),0,CEILING(N317*(1+IF($O317="",Taux_PA,$O317))-0.005,Pas_Arrondi))</f>
        <v>0</v>
      </c>
      <c r="T317" s="22" t="str">
        <f aca="false">IF($A317="","",SUM(K317:N317))</f>
        <v/>
      </c>
      <c r="U317" s="22" t="str">
        <f aca="false">IF($A317="","",SUM(P317:S317))</f>
        <v/>
      </c>
      <c r="V317" s="22" t="str">
        <f aca="false">IF($A317="","",U317-T317)</f>
        <v/>
      </c>
      <c r="W317" s="23" t="str">
        <f aca="false">IF(OR($A317="",N(T317)=0),"",V317/T317)</f>
        <v/>
      </c>
      <c r="X317" s="18"/>
      <c r="Y317" s="18"/>
    </row>
    <row r="318" customFormat="false" ht="15" hidden="false" customHeight="false" outlineLevel="0" collapsed="false">
      <c r="A318" s="18"/>
      <c r="B318" s="18"/>
      <c r="C318" s="18"/>
      <c r="D318" s="18"/>
      <c r="E318" s="18"/>
      <c r="F318" s="18"/>
      <c r="G318" s="18"/>
      <c r="H318" s="19"/>
      <c r="I318" s="18"/>
      <c r="J318" s="18"/>
      <c r="K318" s="20"/>
      <c r="L318" s="20"/>
      <c r="M318" s="20"/>
      <c r="N318" s="20"/>
      <c r="O318" s="21"/>
      <c r="P318" s="22" t="n">
        <f aca="false">IF(OR($A318="",N(K318)=0),0,CEILING(K318*(1+IF($O318="",Taux_Compta,$O318))-0.005,Pas_Arrondi))</f>
        <v>0</v>
      </c>
      <c r="Q318" s="22" t="n">
        <f aca="false">IF(OR($A318="",N(L318)=0),0,CEILING(L318*(1+IF($O318="",Taux_Paye,$O318))-0.005,Pas_Arrondi))</f>
        <v>0</v>
      </c>
      <c r="R318" s="22" t="n">
        <f aca="false">IF(OR($A318="",N(M318)=0),0,CEILING(M318*(1+IF($O318="",Taux_Jur,$O318))-0.005,Pas_Arrondi))</f>
        <v>0</v>
      </c>
      <c r="S318" s="22" t="n">
        <f aca="false">IF(OR($A318="",N(N318)=0),0,CEILING(N318*(1+IF($O318="",Taux_PA,$O318))-0.005,Pas_Arrondi))</f>
        <v>0</v>
      </c>
      <c r="T318" s="22" t="str">
        <f aca="false">IF($A318="","",SUM(K318:N318))</f>
        <v/>
      </c>
      <c r="U318" s="22" t="str">
        <f aca="false">IF($A318="","",SUM(P318:S318))</f>
        <v/>
      </c>
      <c r="V318" s="22" t="str">
        <f aca="false">IF($A318="","",U318-T318)</f>
        <v/>
      </c>
      <c r="W318" s="23" t="str">
        <f aca="false">IF(OR($A318="",N(T318)=0),"",V318/T318)</f>
        <v/>
      </c>
      <c r="X318" s="18"/>
      <c r="Y318" s="18"/>
    </row>
    <row r="319" customFormat="false" ht="15" hidden="false" customHeight="false" outlineLevel="0" collapsed="false">
      <c r="A319" s="18"/>
      <c r="B319" s="18"/>
      <c r="C319" s="18"/>
      <c r="D319" s="18"/>
      <c r="E319" s="18"/>
      <c r="F319" s="18"/>
      <c r="G319" s="18"/>
      <c r="H319" s="19"/>
      <c r="I319" s="18"/>
      <c r="J319" s="18"/>
      <c r="K319" s="20"/>
      <c r="L319" s="20"/>
      <c r="M319" s="20"/>
      <c r="N319" s="20"/>
      <c r="O319" s="21"/>
      <c r="P319" s="22" t="n">
        <f aca="false">IF(OR($A319="",N(K319)=0),0,CEILING(K319*(1+IF($O319="",Taux_Compta,$O319))-0.005,Pas_Arrondi))</f>
        <v>0</v>
      </c>
      <c r="Q319" s="22" t="n">
        <f aca="false">IF(OR($A319="",N(L319)=0),0,CEILING(L319*(1+IF($O319="",Taux_Paye,$O319))-0.005,Pas_Arrondi))</f>
        <v>0</v>
      </c>
      <c r="R319" s="22" t="n">
        <f aca="false">IF(OR($A319="",N(M319)=0),0,CEILING(M319*(1+IF($O319="",Taux_Jur,$O319))-0.005,Pas_Arrondi))</f>
        <v>0</v>
      </c>
      <c r="S319" s="22" t="n">
        <f aca="false">IF(OR($A319="",N(N319)=0),0,CEILING(N319*(1+IF($O319="",Taux_PA,$O319))-0.005,Pas_Arrondi))</f>
        <v>0</v>
      </c>
      <c r="T319" s="22" t="str">
        <f aca="false">IF($A319="","",SUM(K319:N319))</f>
        <v/>
      </c>
      <c r="U319" s="22" t="str">
        <f aca="false">IF($A319="","",SUM(P319:S319))</f>
        <v/>
      </c>
      <c r="V319" s="22" t="str">
        <f aca="false">IF($A319="","",U319-T319)</f>
        <v/>
      </c>
      <c r="W319" s="23" t="str">
        <f aca="false">IF(OR($A319="",N(T319)=0),"",V319/T319)</f>
        <v/>
      </c>
      <c r="X319" s="18"/>
      <c r="Y319" s="18"/>
    </row>
    <row r="320" customFormat="false" ht="15" hidden="false" customHeight="false" outlineLevel="0" collapsed="false">
      <c r="A320" s="18"/>
      <c r="B320" s="18"/>
      <c r="C320" s="18"/>
      <c r="D320" s="18"/>
      <c r="E320" s="18"/>
      <c r="F320" s="18"/>
      <c r="G320" s="18"/>
      <c r="H320" s="19"/>
      <c r="I320" s="18"/>
      <c r="J320" s="18"/>
      <c r="K320" s="20"/>
      <c r="L320" s="20"/>
      <c r="M320" s="20"/>
      <c r="N320" s="20"/>
      <c r="O320" s="21"/>
      <c r="P320" s="22" t="n">
        <f aca="false">IF(OR($A320="",N(K320)=0),0,CEILING(K320*(1+IF($O320="",Taux_Compta,$O320))-0.005,Pas_Arrondi))</f>
        <v>0</v>
      </c>
      <c r="Q320" s="22" t="n">
        <f aca="false">IF(OR($A320="",N(L320)=0),0,CEILING(L320*(1+IF($O320="",Taux_Paye,$O320))-0.005,Pas_Arrondi))</f>
        <v>0</v>
      </c>
      <c r="R320" s="22" t="n">
        <f aca="false">IF(OR($A320="",N(M320)=0),0,CEILING(M320*(1+IF($O320="",Taux_Jur,$O320))-0.005,Pas_Arrondi))</f>
        <v>0</v>
      </c>
      <c r="S320" s="22" t="n">
        <f aca="false">IF(OR($A320="",N(N320)=0),0,CEILING(N320*(1+IF($O320="",Taux_PA,$O320))-0.005,Pas_Arrondi))</f>
        <v>0</v>
      </c>
      <c r="T320" s="22" t="str">
        <f aca="false">IF($A320="","",SUM(K320:N320))</f>
        <v/>
      </c>
      <c r="U320" s="22" t="str">
        <f aca="false">IF($A320="","",SUM(P320:S320))</f>
        <v/>
      </c>
      <c r="V320" s="22" t="str">
        <f aca="false">IF($A320="","",U320-T320)</f>
        <v/>
      </c>
      <c r="W320" s="23" t="str">
        <f aca="false">IF(OR($A320="",N(T320)=0),"",V320/T320)</f>
        <v/>
      </c>
      <c r="X320" s="18"/>
      <c r="Y320" s="18"/>
    </row>
    <row r="321" customFormat="false" ht="15" hidden="false" customHeight="false" outlineLevel="0" collapsed="false">
      <c r="A321" s="18"/>
      <c r="B321" s="18"/>
      <c r="C321" s="18"/>
      <c r="D321" s="18"/>
      <c r="E321" s="18"/>
      <c r="F321" s="18"/>
      <c r="G321" s="18"/>
      <c r="H321" s="19"/>
      <c r="I321" s="18"/>
      <c r="J321" s="18"/>
      <c r="K321" s="20"/>
      <c r="L321" s="20"/>
      <c r="M321" s="20"/>
      <c r="N321" s="20"/>
      <c r="O321" s="21"/>
      <c r="P321" s="22" t="n">
        <f aca="false">IF(OR($A321="",N(K321)=0),0,CEILING(K321*(1+IF($O321="",Taux_Compta,$O321))-0.005,Pas_Arrondi))</f>
        <v>0</v>
      </c>
      <c r="Q321" s="22" t="n">
        <f aca="false">IF(OR($A321="",N(L321)=0),0,CEILING(L321*(1+IF($O321="",Taux_Paye,$O321))-0.005,Pas_Arrondi))</f>
        <v>0</v>
      </c>
      <c r="R321" s="22" t="n">
        <f aca="false">IF(OR($A321="",N(M321)=0),0,CEILING(M321*(1+IF($O321="",Taux_Jur,$O321))-0.005,Pas_Arrondi))</f>
        <v>0</v>
      </c>
      <c r="S321" s="22" t="n">
        <f aca="false">IF(OR($A321="",N(N321)=0),0,CEILING(N321*(1+IF($O321="",Taux_PA,$O321))-0.005,Pas_Arrondi))</f>
        <v>0</v>
      </c>
      <c r="T321" s="22" t="str">
        <f aca="false">IF($A321="","",SUM(K321:N321))</f>
        <v/>
      </c>
      <c r="U321" s="22" t="str">
        <f aca="false">IF($A321="","",SUM(P321:S321))</f>
        <v/>
      </c>
      <c r="V321" s="22" t="str">
        <f aca="false">IF($A321="","",U321-T321)</f>
        <v/>
      </c>
      <c r="W321" s="23" t="str">
        <f aca="false">IF(OR($A321="",N(T321)=0),"",V321/T321)</f>
        <v/>
      </c>
      <c r="X321" s="18"/>
      <c r="Y321" s="18"/>
    </row>
    <row r="322" customFormat="false" ht="15" hidden="false" customHeight="false" outlineLevel="0" collapsed="false">
      <c r="A322" s="18"/>
      <c r="B322" s="18"/>
      <c r="C322" s="18"/>
      <c r="D322" s="18"/>
      <c r="E322" s="18"/>
      <c r="F322" s="18"/>
      <c r="G322" s="18"/>
      <c r="H322" s="19"/>
      <c r="I322" s="18"/>
      <c r="J322" s="18"/>
      <c r="K322" s="20"/>
      <c r="L322" s="20"/>
      <c r="M322" s="20"/>
      <c r="N322" s="20"/>
      <c r="O322" s="21"/>
      <c r="P322" s="22" t="n">
        <f aca="false">IF(OR($A322="",N(K322)=0),0,CEILING(K322*(1+IF($O322="",Taux_Compta,$O322))-0.005,Pas_Arrondi))</f>
        <v>0</v>
      </c>
      <c r="Q322" s="22" t="n">
        <f aca="false">IF(OR($A322="",N(L322)=0),0,CEILING(L322*(1+IF($O322="",Taux_Paye,$O322))-0.005,Pas_Arrondi))</f>
        <v>0</v>
      </c>
      <c r="R322" s="22" t="n">
        <f aca="false">IF(OR($A322="",N(M322)=0),0,CEILING(M322*(1+IF($O322="",Taux_Jur,$O322))-0.005,Pas_Arrondi))</f>
        <v>0</v>
      </c>
      <c r="S322" s="22" t="n">
        <f aca="false">IF(OR($A322="",N(N322)=0),0,CEILING(N322*(1+IF($O322="",Taux_PA,$O322))-0.005,Pas_Arrondi))</f>
        <v>0</v>
      </c>
      <c r="T322" s="22" t="str">
        <f aca="false">IF($A322="","",SUM(K322:N322))</f>
        <v/>
      </c>
      <c r="U322" s="22" t="str">
        <f aca="false">IF($A322="","",SUM(P322:S322))</f>
        <v/>
      </c>
      <c r="V322" s="22" t="str">
        <f aca="false">IF($A322="","",U322-T322)</f>
        <v/>
      </c>
      <c r="W322" s="23" t="str">
        <f aca="false">IF(OR($A322="",N(T322)=0),"",V322/T322)</f>
        <v/>
      </c>
      <c r="X322" s="18"/>
      <c r="Y322" s="18"/>
    </row>
    <row r="323" customFormat="false" ht="15" hidden="false" customHeight="false" outlineLevel="0" collapsed="false">
      <c r="A323" s="18"/>
      <c r="B323" s="18"/>
      <c r="C323" s="18"/>
      <c r="D323" s="18"/>
      <c r="E323" s="18"/>
      <c r="F323" s="18"/>
      <c r="G323" s="18"/>
      <c r="H323" s="19"/>
      <c r="I323" s="18"/>
      <c r="J323" s="18"/>
      <c r="K323" s="20"/>
      <c r="L323" s="20"/>
      <c r="M323" s="20"/>
      <c r="N323" s="20"/>
      <c r="O323" s="21"/>
      <c r="P323" s="22" t="n">
        <f aca="false">IF(OR($A323="",N(K323)=0),0,CEILING(K323*(1+IF($O323="",Taux_Compta,$O323))-0.005,Pas_Arrondi))</f>
        <v>0</v>
      </c>
      <c r="Q323" s="22" t="n">
        <f aca="false">IF(OR($A323="",N(L323)=0),0,CEILING(L323*(1+IF($O323="",Taux_Paye,$O323))-0.005,Pas_Arrondi))</f>
        <v>0</v>
      </c>
      <c r="R323" s="22" t="n">
        <f aca="false">IF(OR($A323="",N(M323)=0),0,CEILING(M323*(1+IF($O323="",Taux_Jur,$O323))-0.005,Pas_Arrondi))</f>
        <v>0</v>
      </c>
      <c r="S323" s="22" t="n">
        <f aca="false">IF(OR($A323="",N(N323)=0),0,CEILING(N323*(1+IF($O323="",Taux_PA,$O323))-0.005,Pas_Arrondi))</f>
        <v>0</v>
      </c>
      <c r="T323" s="22" t="str">
        <f aca="false">IF($A323="","",SUM(K323:N323))</f>
        <v/>
      </c>
      <c r="U323" s="22" t="str">
        <f aca="false">IF($A323="","",SUM(P323:S323))</f>
        <v/>
      </c>
      <c r="V323" s="22" t="str">
        <f aca="false">IF($A323="","",U323-T323)</f>
        <v/>
      </c>
      <c r="W323" s="23" t="str">
        <f aca="false">IF(OR($A323="",N(T323)=0),"",V323/T323)</f>
        <v/>
      </c>
      <c r="X323" s="18"/>
      <c r="Y323" s="18"/>
    </row>
    <row r="324" customFormat="false" ht="15" hidden="false" customHeight="false" outlineLevel="0" collapsed="false">
      <c r="A324" s="18"/>
      <c r="B324" s="18"/>
      <c r="C324" s="18"/>
      <c r="D324" s="18"/>
      <c r="E324" s="18"/>
      <c r="F324" s="18"/>
      <c r="G324" s="18"/>
      <c r="H324" s="19"/>
      <c r="I324" s="18"/>
      <c r="J324" s="18"/>
      <c r="K324" s="20"/>
      <c r="L324" s="20"/>
      <c r="M324" s="20"/>
      <c r="N324" s="20"/>
      <c r="O324" s="21"/>
      <c r="P324" s="22" t="n">
        <f aca="false">IF(OR($A324="",N(K324)=0),0,CEILING(K324*(1+IF($O324="",Taux_Compta,$O324))-0.005,Pas_Arrondi))</f>
        <v>0</v>
      </c>
      <c r="Q324" s="22" t="n">
        <f aca="false">IF(OR($A324="",N(L324)=0),0,CEILING(L324*(1+IF($O324="",Taux_Paye,$O324))-0.005,Pas_Arrondi))</f>
        <v>0</v>
      </c>
      <c r="R324" s="22" t="n">
        <f aca="false">IF(OR($A324="",N(M324)=0),0,CEILING(M324*(1+IF($O324="",Taux_Jur,$O324))-0.005,Pas_Arrondi))</f>
        <v>0</v>
      </c>
      <c r="S324" s="22" t="n">
        <f aca="false">IF(OR($A324="",N(N324)=0),0,CEILING(N324*(1+IF($O324="",Taux_PA,$O324))-0.005,Pas_Arrondi))</f>
        <v>0</v>
      </c>
      <c r="T324" s="22" t="str">
        <f aca="false">IF($A324="","",SUM(K324:N324))</f>
        <v/>
      </c>
      <c r="U324" s="22" t="str">
        <f aca="false">IF($A324="","",SUM(P324:S324))</f>
        <v/>
      </c>
      <c r="V324" s="22" t="str">
        <f aca="false">IF($A324="","",U324-T324)</f>
        <v/>
      </c>
      <c r="W324" s="23" t="str">
        <f aca="false">IF(OR($A324="",N(T324)=0),"",V324/T324)</f>
        <v/>
      </c>
      <c r="X324" s="18"/>
      <c r="Y324" s="18"/>
    </row>
    <row r="325" customFormat="false" ht="15" hidden="false" customHeight="false" outlineLevel="0" collapsed="false">
      <c r="A325" s="18"/>
      <c r="B325" s="18"/>
      <c r="C325" s="18"/>
      <c r="D325" s="18"/>
      <c r="E325" s="18"/>
      <c r="F325" s="18"/>
      <c r="G325" s="18"/>
      <c r="H325" s="19"/>
      <c r="I325" s="18"/>
      <c r="J325" s="18"/>
      <c r="K325" s="20"/>
      <c r="L325" s="20"/>
      <c r="M325" s="20"/>
      <c r="N325" s="20"/>
      <c r="O325" s="21"/>
      <c r="P325" s="22" t="n">
        <f aca="false">IF(OR($A325="",N(K325)=0),0,CEILING(K325*(1+IF($O325="",Taux_Compta,$O325))-0.005,Pas_Arrondi))</f>
        <v>0</v>
      </c>
      <c r="Q325" s="22" t="n">
        <f aca="false">IF(OR($A325="",N(L325)=0),0,CEILING(L325*(1+IF($O325="",Taux_Paye,$O325))-0.005,Pas_Arrondi))</f>
        <v>0</v>
      </c>
      <c r="R325" s="22" t="n">
        <f aca="false">IF(OR($A325="",N(M325)=0),0,CEILING(M325*(1+IF($O325="",Taux_Jur,$O325))-0.005,Pas_Arrondi))</f>
        <v>0</v>
      </c>
      <c r="S325" s="22" t="n">
        <f aca="false">IF(OR($A325="",N(N325)=0),0,CEILING(N325*(1+IF($O325="",Taux_PA,$O325))-0.005,Pas_Arrondi))</f>
        <v>0</v>
      </c>
      <c r="T325" s="22" t="str">
        <f aca="false">IF($A325="","",SUM(K325:N325))</f>
        <v/>
      </c>
      <c r="U325" s="22" t="str">
        <f aca="false">IF($A325="","",SUM(P325:S325))</f>
        <v/>
      </c>
      <c r="V325" s="22" t="str">
        <f aca="false">IF($A325="","",U325-T325)</f>
        <v/>
      </c>
      <c r="W325" s="23" t="str">
        <f aca="false">IF(OR($A325="",N(T325)=0),"",V325/T325)</f>
        <v/>
      </c>
      <c r="X325" s="18"/>
      <c r="Y325" s="18"/>
    </row>
    <row r="326" customFormat="false" ht="15" hidden="false" customHeight="false" outlineLevel="0" collapsed="false">
      <c r="A326" s="18"/>
      <c r="B326" s="18"/>
      <c r="C326" s="18"/>
      <c r="D326" s="18"/>
      <c r="E326" s="18"/>
      <c r="F326" s="18"/>
      <c r="G326" s="18"/>
      <c r="H326" s="19"/>
      <c r="I326" s="18"/>
      <c r="J326" s="18"/>
      <c r="K326" s="20"/>
      <c r="L326" s="20"/>
      <c r="M326" s="20"/>
      <c r="N326" s="20"/>
      <c r="O326" s="21"/>
      <c r="P326" s="22" t="n">
        <f aca="false">IF(OR($A326="",N(K326)=0),0,CEILING(K326*(1+IF($O326="",Taux_Compta,$O326))-0.005,Pas_Arrondi))</f>
        <v>0</v>
      </c>
      <c r="Q326" s="22" t="n">
        <f aca="false">IF(OR($A326="",N(L326)=0),0,CEILING(L326*(1+IF($O326="",Taux_Paye,$O326))-0.005,Pas_Arrondi))</f>
        <v>0</v>
      </c>
      <c r="R326" s="22" t="n">
        <f aca="false">IF(OR($A326="",N(M326)=0),0,CEILING(M326*(1+IF($O326="",Taux_Jur,$O326))-0.005,Pas_Arrondi))</f>
        <v>0</v>
      </c>
      <c r="S326" s="22" t="n">
        <f aca="false">IF(OR($A326="",N(N326)=0),0,CEILING(N326*(1+IF($O326="",Taux_PA,$O326))-0.005,Pas_Arrondi))</f>
        <v>0</v>
      </c>
      <c r="T326" s="22" t="str">
        <f aca="false">IF($A326="","",SUM(K326:N326))</f>
        <v/>
      </c>
      <c r="U326" s="22" t="str">
        <f aca="false">IF($A326="","",SUM(P326:S326))</f>
        <v/>
      </c>
      <c r="V326" s="22" t="str">
        <f aca="false">IF($A326="","",U326-T326)</f>
        <v/>
      </c>
      <c r="W326" s="23" t="str">
        <f aca="false">IF(OR($A326="",N(T326)=0),"",V326/T326)</f>
        <v/>
      </c>
      <c r="X326" s="18"/>
      <c r="Y326" s="18"/>
    </row>
    <row r="327" customFormat="false" ht="15" hidden="false" customHeight="false" outlineLevel="0" collapsed="false">
      <c r="A327" s="18"/>
      <c r="B327" s="18"/>
      <c r="C327" s="18"/>
      <c r="D327" s="18"/>
      <c r="E327" s="18"/>
      <c r="F327" s="18"/>
      <c r="G327" s="18"/>
      <c r="H327" s="19"/>
      <c r="I327" s="18"/>
      <c r="J327" s="18"/>
      <c r="K327" s="20"/>
      <c r="L327" s="20"/>
      <c r="M327" s="20"/>
      <c r="N327" s="20"/>
      <c r="O327" s="21"/>
      <c r="P327" s="22" t="n">
        <f aca="false">IF(OR($A327="",N(K327)=0),0,CEILING(K327*(1+IF($O327="",Taux_Compta,$O327))-0.005,Pas_Arrondi))</f>
        <v>0</v>
      </c>
      <c r="Q327" s="22" t="n">
        <f aca="false">IF(OR($A327="",N(L327)=0),0,CEILING(L327*(1+IF($O327="",Taux_Paye,$O327))-0.005,Pas_Arrondi))</f>
        <v>0</v>
      </c>
      <c r="R327" s="22" t="n">
        <f aca="false">IF(OR($A327="",N(M327)=0),0,CEILING(M327*(1+IF($O327="",Taux_Jur,$O327))-0.005,Pas_Arrondi))</f>
        <v>0</v>
      </c>
      <c r="S327" s="22" t="n">
        <f aca="false">IF(OR($A327="",N(N327)=0),0,CEILING(N327*(1+IF($O327="",Taux_PA,$O327))-0.005,Pas_Arrondi))</f>
        <v>0</v>
      </c>
      <c r="T327" s="22" t="str">
        <f aca="false">IF($A327="","",SUM(K327:N327))</f>
        <v/>
      </c>
      <c r="U327" s="22" t="str">
        <f aca="false">IF($A327="","",SUM(P327:S327))</f>
        <v/>
      </c>
      <c r="V327" s="22" t="str">
        <f aca="false">IF($A327="","",U327-T327)</f>
        <v/>
      </c>
      <c r="W327" s="23" t="str">
        <f aca="false">IF(OR($A327="",N(T327)=0),"",V327/T327)</f>
        <v/>
      </c>
      <c r="X327" s="18"/>
      <c r="Y327" s="18"/>
    </row>
    <row r="328" customFormat="false" ht="15" hidden="false" customHeight="false" outlineLevel="0" collapsed="false">
      <c r="A328" s="18"/>
      <c r="B328" s="18"/>
      <c r="C328" s="18"/>
      <c r="D328" s="18"/>
      <c r="E328" s="18"/>
      <c r="F328" s="18"/>
      <c r="G328" s="18"/>
      <c r="H328" s="19"/>
      <c r="I328" s="18"/>
      <c r="J328" s="18"/>
      <c r="K328" s="20"/>
      <c r="L328" s="20"/>
      <c r="M328" s="20"/>
      <c r="N328" s="20"/>
      <c r="O328" s="21"/>
      <c r="P328" s="22" t="n">
        <f aca="false">IF(OR($A328="",N(K328)=0),0,CEILING(K328*(1+IF($O328="",Taux_Compta,$O328))-0.005,Pas_Arrondi))</f>
        <v>0</v>
      </c>
      <c r="Q328" s="22" t="n">
        <f aca="false">IF(OR($A328="",N(L328)=0),0,CEILING(L328*(1+IF($O328="",Taux_Paye,$O328))-0.005,Pas_Arrondi))</f>
        <v>0</v>
      </c>
      <c r="R328" s="22" t="n">
        <f aca="false">IF(OR($A328="",N(M328)=0),0,CEILING(M328*(1+IF($O328="",Taux_Jur,$O328))-0.005,Pas_Arrondi))</f>
        <v>0</v>
      </c>
      <c r="S328" s="22" t="n">
        <f aca="false">IF(OR($A328="",N(N328)=0),0,CEILING(N328*(1+IF($O328="",Taux_PA,$O328))-0.005,Pas_Arrondi))</f>
        <v>0</v>
      </c>
      <c r="T328" s="22" t="str">
        <f aca="false">IF($A328="","",SUM(K328:N328))</f>
        <v/>
      </c>
      <c r="U328" s="22" t="str">
        <f aca="false">IF($A328="","",SUM(P328:S328))</f>
        <v/>
      </c>
      <c r="V328" s="22" t="str">
        <f aca="false">IF($A328="","",U328-T328)</f>
        <v/>
      </c>
      <c r="W328" s="23" t="str">
        <f aca="false">IF(OR($A328="",N(T328)=0),"",V328/T328)</f>
        <v/>
      </c>
      <c r="X328" s="18"/>
      <c r="Y328" s="18"/>
    </row>
    <row r="329" customFormat="false" ht="15" hidden="false" customHeight="false" outlineLevel="0" collapsed="false">
      <c r="A329" s="18"/>
      <c r="B329" s="18"/>
      <c r="C329" s="18"/>
      <c r="D329" s="18"/>
      <c r="E329" s="18"/>
      <c r="F329" s="18"/>
      <c r="G329" s="18"/>
      <c r="H329" s="19"/>
      <c r="I329" s="18"/>
      <c r="J329" s="18"/>
      <c r="K329" s="20"/>
      <c r="L329" s="20"/>
      <c r="M329" s="20"/>
      <c r="N329" s="20"/>
      <c r="O329" s="21"/>
      <c r="P329" s="22" t="n">
        <f aca="false">IF(OR($A329="",N(K329)=0),0,CEILING(K329*(1+IF($O329="",Taux_Compta,$O329))-0.005,Pas_Arrondi))</f>
        <v>0</v>
      </c>
      <c r="Q329" s="22" t="n">
        <f aca="false">IF(OR($A329="",N(L329)=0),0,CEILING(L329*(1+IF($O329="",Taux_Paye,$O329))-0.005,Pas_Arrondi))</f>
        <v>0</v>
      </c>
      <c r="R329" s="22" t="n">
        <f aca="false">IF(OR($A329="",N(M329)=0),0,CEILING(M329*(1+IF($O329="",Taux_Jur,$O329))-0.005,Pas_Arrondi))</f>
        <v>0</v>
      </c>
      <c r="S329" s="22" t="n">
        <f aca="false">IF(OR($A329="",N(N329)=0),0,CEILING(N329*(1+IF($O329="",Taux_PA,$O329))-0.005,Pas_Arrondi))</f>
        <v>0</v>
      </c>
      <c r="T329" s="22" t="str">
        <f aca="false">IF($A329="","",SUM(K329:N329))</f>
        <v/>
      </c>
      <c r="U329" s="22" t="str">
        <f aca="false">IF($A329="","",SUM(P329:S329))</f>
        <v/>
      </c>
      <c r="V329" s="22" t="str">
        <f aca="false">IF($A329="","",U329-T329)</f>
        <v/>
      </c>
      <c r="W329" s="23" t="str">
        <f aca="false">IF(OR($A329="",N(T329)=0),"",V329/T329)</f>
        <v/>
      </c>
      <c r="X329" s="18"/>
      <c r="Y329" s="18"/>
    </row>
    <row r="330" customFormat="false" ht="15" hidden="false" customHeight="false" outlineLevel="0" collapsed="false">
      <c r="A330" s="18"/>
      <c r="B330" s="18"/>
      <c r="C330" s="18"/>
      <c r="D330" s="18"/>
      <c r="E330" s="18"/>
      <c r="F330" s="18"/>
      <c r="G330" s="18"/>
      <c r="H330" s="19"/>
      <c r="I330" s="18"/>
      <c r="J330" s="18"/>
      <c r="K330" s="20"/>
      <c r="L330" s="20"/>
      <c r="M330" s="20"/>
      <c r="N330" s="20"/>
      <c r="O330" s="21"/>
      <c r="P330" s="22" t="n">
        <f aca="false">IF(OR($A330="",N(K330)=0),0,CEILING(K330*(1+IF($O330="",Taux_Compta,$O330))-0.005,Pas_Arrondi))</f>
        <v>0</v>
      </c>
      <c r="Q330" s="22" t="n">
        <f aca="false">IF(OR($A330="",N(L330)=0),0,CEILING(L330*(1+IF($O330="",Taux_Paye,$O330))-0.005,Pas_Arrondi))</f>
        <v>0</v>
      </c>
      <c r="R330" s="22" t="n">
        <f aca="false">IF(OR($A330="",N(M330)=0),0,CEILING(M330*(1+IF($O330="",Taux_Jur,$O330))-0.005,Pas_Arrondi))</f>
        <v>0</v>
      </c>
      <c r="S330" s="22" t="n">
        <f aca="false">IF(OR($A330="",N(N330)=0),0,CEILING(N330*(1+IF($O330="",Taux_PA,$O330))-0.005,Pas_Arrondi))</f>
        <v>0</v>
      </c>
      <c r="T330" s="22" t="str">
        <f aca="false">IF($A330="","",SUM(K330:N330))</f>
        <v/>
      </c>
      <c r="U330" s="22" t="str">
        <f aca="false">IF($A330="","",SUM(P330:S330))</f>
        <v/>
      </c>
      <c r="V330" s="22" t="str">
        <f aca="false">IF($A330="","",U330-T330)</f>
        <v/>
      </c>
      <c r="W330" s="23" t="str">
        <f aca="false">IF(OR($A330="",N(T330)=0),"",V330/T330)</f>
        <v/>
      </c>
      <c r="X330" s="18"/>
      <c r="Y330" s="18"/>
    </row>
    <row r="331" customFormat="false" ht="15" hidden="false" customHeight="false" outlineLevel="0" collapsed="false">
      <c r="A331" s="18"/>
      <c r="B331" s="18"/>
      <c r="C331" s="18"/>
      <c r="D331" s="18"/>
      <c r="E331" s="18"/>
      <c r="F331" s="18"/>
      <c r="G331" s="18"/>
      <c r="H331" s="19"/>
      <c r="I331" s="18"/>
      <c r="J331" s="18"/>
      <c r="K331" s="20"/>
      <c r="L331" s="20"/>
      <c r="M331" s="20"/>
      <c r="N331" s="20"/>
      <c r="O331" s="21"/>
      <c r="P331" s="22" t="n">
        <f aca="false">IF(OR($A331="",N(K331)=0),0,CEILING(K331*(1+IF($O331="",Taux_Compta,$O331))-0.005,Pas_Arrondi))</f>
        <v>0</v>
      </c>
      <c r="Q331" s="22" t="n">
        <f aca="false">IF(OR($A331="",N(L331)=0),0,CEILING(L331*(1+IF($O331="",Taux_Paye,$O331))-0.005,Pas_Arrondi))</f>
        <v>0</v>
      </c>
      <c r="R331" s="22" t="n">
        <f aca="false">IF(OR($A331="",N(M331)=0),0,CEILING(M331*(1+IF($O331="",Taux_Jur,$O331))-0.005,Pas_Arrondi))</f>
        <v>0</v>
      </c>
      <c r="S331" s="22" t="n">
        <f aca="false">IF(OR($A331="",N(N331)=0),0,CEILING(N331*(1+IF($O331="",Taux_PA,$O331))-0.005,Pas_Arrondi))</f>
        <v>0</v>
      </c>
      <c r="T331" s="22" t="str">
        <f aca="false">IF($A331="","",SUM(K331:N331))</f>
        <v/>
      </c>
      <c r="U331" s="22" t="str">
        <f aca="false">IF($A331="","",SUM(P331:S331))</f>
        <v/>
      </c>
      <c r="V331" s="22" t="str">
        <f aca="false">IF($A331="","",U331-T331)</f>
        <v/>
      </c>
      <c r="W331" s="23" t="str">
        <f aca="false">IF(OR($A331="",N(T331)=0),"",V331/T331)</f>
        <v/>
      </c>
      <c r="X331" s="18"/>
      <c r="Y331" s="18"/>
    </row>
    <row r="332" customFormat="false" ht="15" hidden="false" customHeight="false" outlineLevel="0" collapsed="false">
      <c r="A332" s="18"/>
      <c r="B332" s="18"/>
      <c r="C332" s="18"/>
      <c r="D332" s="18"/>
      <c r="E332" s="18"/>
      <c r="F332" s="18"/>
      <c r="G332" s="18"/>
      <c r="H332" s="19"/>
      <c r="I332" s="18"/>
      <c r="J332" s="18"/>
      <c r="K332" s="20"/>
      <c r="L332" s="20"/>
      <c r="M332" s="20"/>
      <c r="N332" s="20"/>
      <c r="O332" s="21"/>
      <c r="P332" s="22" t="n">
        <f aca="false">IF(OR($A332="",N(K332)=0),0,CEILING(K332*(1+IF($O332="",Taux_Compta,$O332))-0.005,Pas_Arrondi))</f>
        <v>0</v>
      </c>
      <c r="Q332" s="22" t="n">
        <f aca="false">IF(OR($A332="",N(L332)=0),0,CEILING(L332*(1+IF($O332="",Taux_Paye,$O332))-0.005,Pas_Arrondi))</f>
        <v>0</v>
      </c>
      <c r="R332" s="22" t="n">
        <f aca="false">IF(OR($A332="",N(M332)=0),0,CEILING(M332*(1+IF($O332="",Taux_Jur,$O332))-0.005,Pas_Arrondi))</f>
        <v>0</v>
      </c>
      <c r="S332" s="22" t="n">
        <f aca="false">IF(OR($A332="",N(N332)=0),0,CEILING(N332*(1+IF($O332="",Taux_PA,$O332))-0.005,Pas_Arrondi))</f>
        <v>0</v>
      </c>
      <c r="T332" s="22" t="str">
        <f aca="false">IF($A332="","",SUM(K332:N332))</f>
        <v/>
      </c>
      <c r="U332" s="22" t="str">
        <f aca="false">IF($A332="","",SUM(P332:S332))</f>
        <v/>
      </c>
      <c r="V332" s="22" t="str">
        <f aca="false">IF($A332="","",U332-T332)</f>
        <v/>
      </c>
      <c r="W332" s="23" t="str">
        <f aca="false">IF(OR($A332="",N(T332)=0),"",V332/T332)</f>
        <v/>
      </c>
      <c r="X332" s="18"/>
      <c r="Y332" s="18"/>
    </row>
    <row r="333" customFormat="false" ht="15" hidden="false" customHeight="false" outlineLevel="0" collapsed="false">
      <c r="A333" s="18"/>
      <c r="B333" s="18"/>
      <c r="C333" s="18"/>
      <c r="D333" s="18"/>
      <c r="E333" s="18"/>
      <c r="F333" s="18"/>
      <c r="G333" s="18"/>
      <c r="H333" s="19"/>
      <c r="I333" s="18"/>
      <c r="J333" s="18"/>
      <c r="K333" s="20"/>
      <c r="L333" s="20"/>
      <c r="M333" s="20"/>
      <c r="N333" s="20"/>
      <c r="O333" s="21"/>
      <c r="P333" s="22" t="n">
        <f aca="false">IF(OR($A333="",N(K333)=0),0,CEILING(K333*(1+IF($O333="",Taux_Compta,$O333))-0.005,Pas_Arrondi))</f>
        <v>0</v>
      </c>
      <c r="Q333" s="22" t="n">
        <f aca="false">IF(OR($A333="",N(L333)=0),0,CEILING(L333*(1+IF($O333="",Taux_Paye,$O333))-0.005,Pas_Arrondi))</f>
        <v>0</v>
      </c>
      <c r="R333" s="22" t="n">
        <f aca="false">IF(OR($A333="",N(M333)=0),0,CEILING(M333*(1+IF($O333="",Taux_Jur,$O333))-0.005,Pas_Arrondi))</f>
        <v>0</v>
      </c>
      <c r="S333" s="22" t="n">
        <f aca="false">IF(OR($A333="",N(N333)=0),0,CEILING(N333*(1+IF($O333="",Taux_PA,$O333))-0.005,Pas_Arrondi))</f>
        <v>0</v>
      </c>
      <c r="T333" s="22" t="str">
        <f aca="false">IF($A333="","",SUM(K333:N333))</f>
        <v/>
      </c>
      <c r="U333" s="22" t="str">
        <f aca="false">IF($A333="","",SUM(P333:S333))</f>
        <v/>
      </c>
      <c r="V333" s="22" t="str">
        <f aca="false">IF($A333="","",U333-T333)</f>
        <v/>
      </c>
      <c r="W333" s="23" t="str">
        <f aca="false">IF(OR($A333="",N(T333)=0),"",V333/T333)</f>
        <v/>
      </c>
      <c r="X333" s="18"/>
      <c r="Y333" s="18"/>
    </row>
    <row r="334" customFormat="false" ht="15" hidden="false" customHeight="false" outlineLevel="0" collapsed="false">
      <c r="A334" s="18"/>
      <c r="B334" s="18"/>
      <c r="C334" s="18"/>
      <c r="D334" s="18"/>
      <c r="E334" s="18"/>
      <c r="F334" s="18"/>
      <c r="G334" s="18"/>
      <c r="H334" s="19"/>
      <c r="I334" s="18"/>
      <c r="J334" s="18"/>
      <c r="K334" s="20"/>
      <c r="L334" s="20"/>
      <c r="M334" s="20"/>
      <c r="N334" s="20"/>
      <c r="O334" s="21"/>
      <c r="P334" s="22" t="n">
        <f aca="false">IF(OR($A334="",N(K334)=0),0,CEILING(K334*(1+IF($O334="",Taux_Compta,$O334))-0.005,Pas_Arrondi))</f>
        <v>0</v>
      </c>
      <c r="Q334" s="22" t="n">
        <f aca="false">IF(OR($A334="",N(L334)=0),0,CEILING(L334*(1+IF($O334="",Taux_Paye,$O334))-0.005,Pas_Arrondi))</f>
        <v>0</v>
      </c>
      <c r="R334" s="22" t="n">
        <f aca="false">IF(OR($A334="",N(M334)=0),0,CEILING(M334*(1+IF($O334="",Taux_Jur,$O334))-0.005,Pas_Arrondi))</f>
        <v>0</v>
      </c>
      <c r="S334" s="22" t="n">
        <f aca="false">IF(OR($A334="",N(N334)=0),0,CEILING(N334*(1+IF($O334="",Taux_PA,$O334))-0.005,Pas_Arrondi))</f>
        <v>0</v>
      </c>
      <c r="T334" s="22" t="str">
        <f aca="false">IF($A334="","",SUM(K334:N334))</f>
        <v/>
      </c>
      <c r="U334" s="22" t="str">
        <f aca="false">IF($A334="","",SUM(P334:S334))</f>
        <v/>
      </c>
      <c r="V334" s="22" t="str">
        <f aca="false">IF($A334="","",U334-T334)</f>
        <v/>
      </c>
      <c r="W334" s="23" t="str">
        <f aca="false">IF(OR($A334="",N(T334)=0),"",V334/T334)</f>
        <v/>
      </c>
      <c r="X334" s="18"/>
      <c r="Y334" s="18"/>
    </row>
    <row r="335" customFormat="false" ht="15" hidden="false" customHeight="false" outlineLevel="0" collapsed="false">
      <c r="A335" s="18"/>
      <c r="B335" s="18"/>
      <c r="C335" s="18"/>
      <c r="D335" s="18"/>
      <c r="E335" s="18"/>
      <c r="F335" s="18"/>
      <c r="G335" s="18"/>
      <c r="H335" s="19"/>
      <c r="I335" s="18"/>
      <c r="J335" s="18"/>
      <c r="K335" s="20"/>
      <c r="L335" s="20"/>
      <c r="M335" s="20"/>
      <c r="N335" s="20"/>
      <c r="O335" s="21"/>
      <c r="P335" s="22" t="n">
        <f aca="false">IF(OR($A335="",N(K335)=0),0,CEILING(K335*(1+IF($O335="",Taux_Compta,$O335))-0.005,Pas_Arrondi))</f>
        <v>0</v>
      </c>
      <c r="Q335" s="22" t="n">
        <f aca="false">IF(OR($A335="",N(L335)=0),0,CEILING(L335*(1+IF($O335="",Taux_Paye,$O335))-0.005,Pas_Arrondi))</f>
        <v>0</v>
      </c>
      <c r="R335" s="22" t="n">
        <f aca="false">IF(OR($A335="",N(M335)=0),0,CEILING(M335*(1+IF($O335="",Taux_Jur,$O335))-0.005,Pas_Arrondi))</f>
        <v>0</v>
      </c>
      <c r="S335" s="22" t="n">
        <f aca="false">IF(OR($A335="",N(N335)=0),0,CEILING(N335*(1+IF($O335="",Taux_PA,$O335))-0.005,Pas_Arrondi))</f>
        <v>0</v>
      </c>
      <c r="T335" s="22" t="str">
        <f aca="false">IF($A335="","",SUM(K335:N335))</f>
        <v/>
      </c>
      <c r="U335" s="22" t="str">
        <f aca="false">IF($A335="","",SUM(P335:S335))</f>
        <v/>
      </c>
      <c r="V335" s="22" t="str">
        <f aca="false">IF($A335="","",U335-T335)</f>
        <v/>
      </c>
      <c r="W335" s="23" t="str">
        <f aca="false">IF(OR($A335="",N(T335)=0),"",V335/T335)</f>
        <v/>
      </c>
      <c r="X335" s="18"/>
      <c r="Y335" s="18"/>
    </row>
    <row r="336" customFormat="false" ht="15" hidden="false" customHeight="false" outlineLevel="0" collapsed="false">
      <c r="A336" s="18"/>
      <c r="B336" s="18"/>
      <c r="C336" s="18"/>
      <c r="D336" s="18"/>
      <c r="E336" s="18"/>
      <c r="F336" s="18"/>
      <c r="G336" s="18"/>
      <c r="H336" s="19"/>
      <c r="I336" s="18"/>
      <c r="J336" s="18"/>
      <c r="K336" s="20"/>
      <c r="L336" s="20"/>
      <c r="M336" s="20"/>
      <c r="N336" s="20"/>
      <c r="O336" s="21"/>
      <c r="P336" s="22" t="n">
        <f aca="false">IF(OR($A336="",N(K336)=0),0,CEILING(K336*(1+IF($O336="",Taux_Compta,$O336))-0.005,Pas_Arrondi))</f>
        <v>0</v>
      </c>
      <c r="Q336" s="22" t="n">
        <f aca="false">IF(OR($A336="",N(L336)=0),0,CEILING(L336*(1+IF($O336="",Taux_Paye,$O336))-0.005,Pas_Arrondi))</f>
        <v>0</v>
      </c>
      <c r="R336" s="22" t="n">
        <f aca="false">IF(OR($A336="",N(M336)=0),0,CEILING(M336*(1+IF($O336="",Taux_Jur,$O336))-0.005,Pas_Arrondi))</f>
        <v>0</v>
      </c>
      <c r="S336" s="22" t="n">
        <f aca="false">IF(OR($A336="",N(N336)=0),0,CEILING(N336*(1+IF($O336="",Taux_PA,$O336))-0.005,Pas_Arrondi))</f>
        <v>0</v>
      </c>
      <c r="T336" s="22" t="str">
        <f aca="false">IF($A336="","",SUM(K336:N336))</f>
        <v/>
      </c>
      <c r="U336" s="22" t="str">
        <f aca="false">IF($A336="","",SUM(P336:S336))</f>
        <v/>
      </c>
      <c r="V336" s="22" t="str">
        <f aca="false">IF($A336="","",U336-T336)</f>
        <v/>
      </c>
      <c r="W336" s="23" t="str">
        <f aca="false">IF(OR($A336="",N(T336)=0),"",V336/T336)</f>
        <v/>
      </c>
      <c r="X336" s="18"/>
      <c r="Y336" s="18"/>
    </row>
    <row r="337" customFormat="false" ht="15" hidden="false" customHeight="false" outlineLevel="0" collapsed="false">
      <c r="A337" s="18"/>
      <c r="B337" s="18"/>
      <c r="C337" s="18"/>
      <c r="D337" s="18"/>
      <c r="E337" s="18"/>
      <c r="F337" s="18"/>
      <c r="G337" s="18"/>
      <c r="H337" s="19"/>
      <c r="I337" s="18"/>
      <c r="J337" s="18"/>
      <c r="K337" s="20"/>
      <c r="L337" s="20"/>
      <c r="M337" s="20"/>
      <c r="N337" s="20"/>
      <c r="O337" s="21"/>
      <c r="P337" s="22" t="n">
        <f aca="false">IF(OR($A337="",N(K337)=0),0,CEILING(K337*(1+IF($O337="",Taux_Compta,$O337))-0.005,Pas_Arrondi))</f>
        <v>0</v>
      </c>
      <c r="Q337" s="22" t="n">
        <f aca="false">IF(OR($A337="",N(L337)=0),0,CEILING(L337*(1+IF($O337="",Taux_Paye,$O337))-0.005,Pas_Arrondi))</f>
        <v>0</v>
      </c>
      <c r="R337" s="22" t="n">
        <f aca="false">IF(OR($A337="",N(M337)=0),0,CEILING(M337*(1+IF($O337="",Taux_Jur,$O337))-0.005,Pas_Arrondi))</f>
        <v>0</v>
      </c>
      <c r="S337" s="22" t="n">
        <f aca="false">IF(OR($A337="",N(N337)=0),0,CEILING(N337*(1+IF($O337="",Taux_PA,$O337))-0.005,Pas_Arrondi))</f>
        <v>0</v>
      </c>
      <c r="T337" s="22" t="str">
        <f aca="false">IF($A337="","",SUM(K337:N337))</f>
        <v/>
      </c>
      <c r="U337" s="22" t="str">
        <f aca="false">IF($A337="","",SUM(P337:S337))</f>
        <v/>
      </c>
      <c r="V337" s="22" t="str">
        <f aca="false">IF($A337="","",U337-T337)</f>
        <v/>
      </c>
      <c r="W337" s="23" t="str">
        <f aca="false">IF(OR($A337="",N(T337)=0),"",V337/T337)</f>
        <v/>
      </c>
      <c r="X337" s="18"/>
      <c r="Y337" s="18"/>
    </row>
    <row r="338" customFormat="false" ht="15" hidden="false" customHeight="false" outlineLevel="0" collapsed="false">
      <c r="A338" s="18"/>
      <c r="B338" s="18"/>
      <c r="C338" s="18"/>
      <c r="D338" s="18"/>
      <c r="E338" s="18"/>
      <c r="F338" s="18"/>
      <c r="G338" s="18"/>
      <c r="H338" s="19"/>
      <c r="I338" s="18"/>
      <c r="J338" s="18"/>
      <c r="K338" s="20"/>
      <c r="L338" s="20"/>
      <c r="M338" s="20"/>
      <c r="N338" s="20"/>
      <c r="O338" s="21"/>
      <c r="P338" s="22" t="n">
        <f aca="false">IF(OR($A338="",N(K338)=0),0,CEILING(K338*(1+IF($O338="",Taux_Compta,$O338))-0.005,Pas_Arrondi))</f>
        <v>0</v>
      </c>
      <c r="Q338" s="22" t="n">
        <f aca="false">IF(OR($A338="",N(L338)=0),0,CEILING(L338*(1+IF($O338="",Taux_Paye,$O338))-0.005,Pas_Arrondi))</f>
        <v>0</v>
      </c>
      <c r="R338" s="22" t="n">
        <f aca="false">IF(OR($A338="",N(M338)=0),0,CEILING(M338*(1+IF($O338="",Taux_Jur,$O338))-0.005,Pas_Arrondi))</f>
        <v>0</v>
      </c>
      <c r="S338" s="22" t="n">
        <f aca="false">IF(OR($A338="",N(N338)=0),0,CEILING(N338*(1+IF($O338="",Taux_PA,$O338))-0.005,Pas_Arrondi))</f>
        <v>0</v>
      </c>
      <c r="T338" s="22" t="str">
        <f aca="false">IF($A338="","",SUM(K338:N338))</f>
        <v/>
      </c>
      <c r="U338" s="22" t="str">
        <f aca="false">IF($A338="","",SUM(P338:S338))</f>
        <v/>
      </c>
      <c r="V338" s="22" t="str">
        <f aca="false">IF($A338="","",U338-T338)</f>
        <v/>
      </c>
      <c r="W338" s="23" t="str">
        <f aca="false">IF(OR($A338="",N(T338)=0),"",V338/T338)</f>
        <v/>
      </c>
      <c r="X338" s="18"/>
      <c r="Y338" s="18"/>
    </row>
    <row r="339" customFormat="false" ht="15" hidden="false" customHeight="false" outlineLevel="0" collapsed="false">
      <c r="A339" s="18"/>
      <c r="B339" s="18"/>
      <c r="C339" s="18"/>
      <c r="D339" s="18"/>
      <c r="E339" s="18"/>
      <c r="F339" s="18"/>
      <c r="G339" s="18"/>
      <c r="H339" s="19"/>
      <c r="I339" s="18"/>
      <c r="J339" s="18"/>
      <c r="K339" s="20"/>
      <c r="L339" s="20"/>
      <c r="M339" s="20"/>
      <c r="N339" s="20"/>
      <c r="O339" s="21"/>
      <c r="P339" s="22" t="n">
        <f aca="false">IF(OR($A339="",N(K339)=0),0,CEILING(K339*(1+IF($O339="",Taux_Compta,$O339))-0.005,Pas_Arrondi))</f>
        <v>0</v>
      </c>
      <c r="Q339" s="22" t="n">
        <f aca="false">IF(OR($A339="",N(L339)=0),0,CEILING(L339*(1+IF($O339="",Taux_Paye,$O339))-0.005,Pas_Arrondi))</f>
        <v>0</v>
      </c>
      <c r="R339" s="22" t="n">
        <f aca="false">IF(OR($A339="",N(M339)=0),0,CEILING(M339*(1+IF($O339="",Taux_Jur,$O339))-0.005,Pas_Arrondi))</f>
        <v>0</v>
      </c>
      <c r="S339" s="22" t="n">
        <f aca="false">IF(OR($A339="",N(N339)=0),0,CEILING(N339*(1+IF($O339="",Taux_PA,$O339))-0.005,Pas_Arrondi))</f>
        <v>0</v>
      </c>
      <c r="T339" s="22" t="str">
        <f aca="false">IF($A339="","",SUM(K339:N339))</f>
        <v/>
      </c>
      <c r="U339" s="22" t="str">
        <f aca="false">IF($A339="","",SUM(P339:S339))</f>
        <v/>
      </c>
      <c r="V339" s="22" t="str">
        <f aca="false">IF($A339="","",U339-T339)</f>
        <v/>
      </c>
      <c r="W339" s="23" t="str">
        <f aca="false">IF(OR($A339="",N(T339)=0),"",V339/T339)</f>
        <v/>
      </c>
      <c r="X339" s="18"/>
      <c r="Y339" s="18"/>
    </row>
    <row r="340" customFormat="false" ht="15" hidden="false" customHeight="false" outlineLevel="0" collapsed="false">
      <c r="A340" s="18"/>
      <c r="B340" s="18"/>
      <c r="C340" s="18"/>
      <c r="D340" s="18"/>
      <c r="E340" s="18"/>
      <c r="F340" s="18"/>
      <c r="G340" s="18"/>
      <c r="H340" s="19"/>
      <c r="I340" s="18"/>
      <c r="J340" s="18"/>
      <c r="K340" s="20"/>
      <c r="L340" s="20"/>
      <c r="M340" s="20"/>
      <c r="N340" s="20"/>
      <c r="O340" s="21"/>
      <c r="P340" s="22" t="n">
        <f aca="false">IF(OR($A340="",N(K340)=0),0,CEILING(K340*(1+IF($O340="",Taux_Compta,$O340))-0.005,Pas_Arrondi))</f>
        <v>0</v>
      </c>
      <c r="Q340" s="22" t="n">
        <f aca="false">IF(OR($A340="",N(L340)=0),0,CEILING(L340*(1+IF($O340="",Taux_Paye,$O340))-0.005,Pas_Arrondi))</f>
        <v>0</v>
      </c>
      <c r="R340" s="22" t="n">
        <f aca="false">IF(OR($A340="",N(M340)=0),0,CEILING(M340*(1+IF($O340="",Taux_Jur,$O340))-0.005,Pas_Arrondi))</f>
        <v>0</v>
      </c>
      <c r="S340" s="22" t="n">
        <f aca="false">IF(OR($A340="",N(N340)=0),0,CEILING(N340*(1+IF($O340="",Taux_PA,$O340))-0.005,Pas_Arrondi))</f>
        <v>0</v>
      </c>
      <c r="T340" s="22" t="str">
        <f aca="false">IF($A340="","",SUM(K340:N340))</f>
        <v/>
      </c>
      <c r="U340" s="22" t="str">
        <f aca="false">IF($A340="","",SUM(P340:S340))</f>
        <v/>
      </c>
      <c r="V340" s="22" t="str">
        <f aca="false">IF($A340="","",U340-T340)</f>
        <v/>
      </c>
      <c r="W340" s="23" t="str">
        <f aca="false">IF(OR($A340="",N(T340)=0),"",V340/T340)</f>
        <v/>
      </c>
      <c r="X340" s="18"/>
      <c r="Y340" s="18"/>
    </row>
    <row r="341" customFormat="false" ht="15" hidden="false" customHeight="false" outlineLevel="0" collapsed="false">
      <c r="A341" s="18"/>
      <c r="B341" s="18"/>
      <c r="C341" s="18"/>
      <c r="D341" s="18"/>
      <c r="E341" s="18"/>
      <c r="F341" s="18"/>
      <c r="G341" s="18"/>
      <c r="H341" s="19"/>
      <c r="I341" s="18"/>
      <c r="J341" s="18"/>
      <c r="K341" s="20"/>
      <c r="L341" s="20"/>
      <c r="M341" s="20"/>
      <c r="N341" s="20"/>
      <c r="O341" s="21"/>
      <c r="P341" s="22" t="n">
        <f aca="false">IF(OR($A341="",N(K341)=0),0,CEILING(K341*(1+IF($O341="",Taux_Compta,$O341))-0.005,Pas_Arrondi))</f>
        <v>0</v>
      </c>
      <c r="Q341" s="22" t="n">
        <f aca="false">IF(OR($A341="",N(L341)=0),0,CEILING(L341*(1+IF($O341="",Taux_Paye,$O341))-0.005,Pas_Arrondi))</f>
        <v>0</v>
      </c>
      <c r="R341" s="22" t="n">
        <f aca="false">IF(OR($A341="",N(M341)=0),0,CEILING(M341*(1+IF($O341="",Taux_Jur,$O341))-0.005,Pas_Arrondi))</f>
        <v>0</v>
      </c>
      <c r="S341" s="22" t="n">
        <f aca="false">IF(OR($A341="",N(N341)=0),0,CEILING(N341*(1+IF($O341="",Taux_PA,$O341))-0.005,Pas_Arrondi))</f>
        <v>0</v>
      </c>
      <c r="T341" s="22" t="str">
        <f aca="false">IF($A341="","",SUM(K341:N341))</f>
        <v/>
      </c>
      <c r="U341" s="22" t="str">
        <f aca="false">IF($A341="","",SUM(P341:S341))</f>
        <v/>
      </c>
      <c r="V341" s="22" t="str">
        <f aca="false">IF($A341="","",U341-T341)</f>
        <v/>
      </c>
      <c r="W341" s="23" t="str">
        <f aca="false">IF(OR($A341="",N(T341)=0),"",V341/T341)</f>
        <v/>
      </c>
      <c r="X341" s="18"/>
      <c r="Y341" s="18"/>
    </row>
    <row r="342" customFormat="false" ht="15" hidden="false" customHeight="false" outlineLevel="0" collapsed="false">
      <c r="A342" s="18"/>
      <c r="B342" s="18"/>
      <c r="C342" s="18"/>
      <c r="D342" s="18"/>
      <c r="E342" s="18"/>
      <c r="F342" s="18"/>
      <c r="G342" s="18"/>
      <c r="H342" s="19"/>
      <c r="I342" s="18"/>
      <c r="J342" s="18"/>
      <c r="K342" s="20"/>
      <c r="L342" s="20"/>
      <c r="M342" s="20"/>
      <c r="N342" s="20"/>
      <c r="O342" s="21"/>
      <c r="P342" s="22" t="n">
        <f aca="false">IF(OR($A342="",N(K342)=0),0,CEILING(K342*(1+IF($O342="",Taux_Compta,$O342))-0.005,Pas_Arrondi))</f>
        <v>0</v>
      </c>
      <c r="Q342" s="22" t="n">
        <f aca="false">IF(OR($A342="",N(L342)=0),0,CEILING(L342*(1+IF($O342="",Taux_Paye,$O342))-0.005,Pas_Arrondi))</f>
        <v>0</v>
      </c>
      <c r="R342" s="22" t="n">
        <f aca="false">IF(OR($A342="",N(M342)=0),0,CEILING(M342*(1+IF($O342="",Taux_Jur,$O342))-0.005,Pas_Arrondi))</f>
        <v>0</v>
      </c>
      <c r="S342" s="22" t="n">
        <f aca="false">IF(OR($A342="",N(N342)=0),0,CEILING(N342*(1+IF($O342="",Taux_PA,$O342))-0.005,Pas_Arrondi))</f>
        <v>0</v>
      </c>
      <c r="T342" s="22" t="str">
        <f aca="false">IF($A342="","",SUM(K342:N342))</f>
        <v/>
      </c>
      <c r="U342" s="22" t="str">
        <f aca="false">IF($A342="","",SUM(P342:S342))</f>
        <v/>
      </c>
      <c r="V342" s="22" t="str">
        <f aca="false">IF($A342="","",U342-T342)</f>
        <v/>
      </c>
      <c r="W342" s="23" t="str">
        <f aca="false">IF(OR($A342="",N(T342)=0),"",V342/T342)</f>
        <v/>
      </c>
      <c r="X342" s="18"/>
      <c r="Y342" s="18"/>
    </row>
    <row r="343" customFormat="false" ht="15" hidden="false" customHeight="false" outlineLevel="0" collapsed="false">
      <c r="A343" s="18"/>
      <c r="B343" s="18"/>
      <c r="C343" s="18"/>
      <c r="D343" s="18"/>
      <c r="E343" s="18"/>
      <c r="F343" s="18"/>
      <c r="G343" s="18"/>
      <c r="H343" s="19"/>
      <c r="I343" s="18"/>
      <c r="J343" s="18"/>
      <c r="K343" s="20"/>
      <c r="L343" s="20"/>
      <c r="M343" s="20"/>
      <c r="N343" s="20"/>
      <c r="O343" s="21"/>
      <c r="P343" s="22" t="n">
        <f aca="false">IF(OR($A343="",N(K343)=0),0,CEILING(K343*(1+IF($O343="",Taux_Compta,$O343))-0.005,Pas_Arrondi))</f>
        <v>0</v>
      </c>
      <c r="Q343" s="22" t="n">
        <f aca="false">IF(OR($A343="",N(L343)=0),0,CEILING(L343*(1+IF($O343="",Taux_Paye,$O343))-0.005,Pas_Arrondi))</f>
        <v>0</v>
      </c>
      <c r="R343" s="22" t="n">
        <f aca="false">IF(OR($A343="",N(M343)=0),0,CEILING(M343*(1+IF($O343="",Taux_Jur,$O343))-0.005,Pas_Arrondi))</f>
        <v>0</v>
      </c>
      <c r="S343" s="22" t="n">
        <f aca="false">IF(OR($A343="",N(N343)=0),0,CEILING(N343*(1+IF($O343="",Taux_PA,$O343))-0.005,Pas_Arrondi))</f>
        <v>0</v>
      </c>
      <c r="T343" s="22" t="str">
        <f aca="false">IF($A343="","",SUM(K343:N343))</f>
        <v/>
      </c>
      <c r="U343" s="22" t="str">
        <f aca="false">IF($A343="","",SUM(P343:S343))</f>
        <v/>
      </c>
      <c r="V343" s="22" t="str">
        <f aca="false">IF($A343="","",U343-T343)</f>
        <v/>
      </c>
      <c r="W343" s="23" t="str">
        <f aca="false">IF(OR($A343="",N(T343)=0),"",V343/T343)</f>
        <v/>
      </c>
      <c r="X343" s="18"/>
      <c r="Y343" s="18"/>
    </row>
    <row r="344" customFormat="false" ht="15" hidden="false" customHeight="false" outlineLevel="0" collapsed="false">
      <c r="A344" s="18"/>
      <c r="B344" s="18"/>
      <c r="C344" s="18"/>
      <c r="D344" s="18"/>
      <c r="E344" s="18"/>
      <c r="F344" s="18"/>
      <c r="G344" s="18"/>
      <c r="H344" s="19"/>
      <c r="I344" s="18"/>
      <c r="J344" s="18"/>
      <c r="K344" s="20"/>
      <c r="L344" s="20"/>
      <c r="M344" s="20"/>
      <c r="N344" s="20"/>
      <c r="O344" s="21"/>
      <c r="P344" s="22" t="n">
        <f aca="false">IF(OR($A344="",N(K344)=0),0,CEILING(K344*(1+IF($O344="",Taux_Compta,$O344))-0.005,Pas_Arrondi))</f>
        <v>0</v>
      </c>
      <c r="Q344" s="22" t="n">
        <f aca="false">IF(OR($A344="",N(L344)=0),0,CEILING(L344*(1+IF($O344="",Taux_Paye,$O344))-0.005,Pas_Arrondi))</f>
        <v>0</v>
      </c>
      <c r="R344" s="22" t="n">
        <f aca="false">IF(OR($A344="",N(M344)=0),0,CEILING(M344*(1+IF($O344="",Taux_Jur,$O344))-0.005,Pas_Arrondi))</f>
        <v>0</v>
      </c>
      <c r="S344" s="22" t="n">
        <f aca="false">IF(OR($A344="",N(N344)=0),0,CEILING(N344*(1+IF($O344="",Taux_PA,$O344))-0.005,Pas_Arrondi))</f>
        <v>0</v>
      </c>
      <c r="T344" s="22" t="str">
        <f aca="false">IF($A344="","",SUM(K344:N344))</f>
        <v/>
      </c>
      <c r="U344" s="22" t="str">
        <f aca="false">IF($A344="","",SUM(P344:S344))</f>
        <v/>
      </c>
      <c r="V344" s="22" t="str">
        <f aca="false">IF($A344="","",U344-T344)</f>
        <v/>
      </c>
      <c r="W344" s="23" t="str">
        <f aca="false">IF(OR($A344="",N(T344)=0),"",V344/T344)</f>
        <v/>
      </c>
      <c r="X344" s="18"/>
      <c r="Y344" s="18"/>
    </row>
    <row r="345" customFormat="false" ht="15" hidden="false" customHeight="false" outlineLevel="0" collapsed="false">
      <c r="A345" s="18"/>
      <c r="B345" s="18"/>
      <c r="C345" s="18"/>
      <c r="D345" s="18"/>
      <c r="E345" s="18"/>
      <c r="F345" s="18"/>
      <c r="G345" s="18"/>
      <c r="H345" s="19"/>
      <c r="I345" s="18"/>
      <c r="J345" s="18"/>
      <c r="K345" s="20"/>
      <c r="L345" s="20"/>
      <c r="M345" s="20"/>
      <c r="N345" s="20"/>
      <c r="O345" s="21"/>
      <c r="P345" s="22" t="n">
        <f aca="false">IF(OR($A345="",N(K345)=0),0,CEILING(K345*(1+IF($O345="",Taux_Compta,$O345))-0.005,Pas_Arrondi))</f>
        <v>0</v>
      </c>
      <c r="Q345" s="22" t="n">
        <f aca="false">IF(OR($A345="",N(L345)=0),0,CEILING(L345*(1+IF($O345="",Taux_Paye,$O345))-0.005,Pas_Arrondi))</f>
        <v>0</v>
      </c>
      <c r="R345" s="22" t="n">
        <f aca="false">IF(OR($A345="",N(M345)=0),0,CEILING(M345*(1+IF($O345="",Taux_Jur,$O345))-0.005,Pas_Arrondi))</f>
        <v>0</v>
      </c>
      <c r="S345" s="22" t="n">
        <f aca="false">IF(OR($A345="",N(N345)=0),0,CEILING(N345*(1+IF($O345="",Taux_PA,$O345))-0.005,Pas_Arrondi))</f>
        <v>0</v>
      </c>
      <c r="T345" s="22" t="str">
        <f aca="false">IF($A345="","",SUM(K345:N345))</f>
        <v/>
      </c>
      <c r="U345" s="22" t="str">
        <f aca="false">IF($A345="","",SUM(P345:S345))</f>
        <v/>
      </c>
      <c r="V345" s="22" t="str">
        <f aca="false">IF($A345="","",U345-T345)</f>
        <v/>
      </c>
      <c r="W345" s="23" t="str">
        <f aca="false">IF(OR($A345="",N(T345)=0),"",V345/T345)</f>
        <v/>
      </c>
      <c r="X345" s="18"/>
      <c r="Y345" s="18"/>
    </row>
    <row r="346" customFormat="false" ht="15" hidden="false" customHeight="false" outlineLevel="0" collapsed="false">
      <c r="A346" s="18"/>
      <c r="B346" s="18"/>
      <c r="C346" s="18"/>
      <c r="D346" s="18"/>
      <c r="E346" s="18"/>
      <c r="F346" s="18"/>
      <c r="G346" s="18"/>
      <c r="H346" s="19"/>
      <c r="I346" s="18"/>
      <c r="J346" s="18"/>
      <c r="K346" s="20"/>
      <c r="L346" s="20"/>
      <c r="M346" s="20"/>
      <c r="N346" s="20"/>
      <c r="O346" s="21"/>
      <c r="P346" s="22" t="n">
        <f aca="false">IF(OR($A346="",N(K346)=0),0,CEILING(K346*(1+IF($O346="",Taux_Compta,$O346))-0.005,Pas_Arrondi))</f>
        <v>0</v>
      </c>
      <c r="Q346" s="22" t="n">
        <f aca="false">IF(OR($A346="",N(L346)=0),0,CEILING(L346*(1+IF($O346="",Taux_Paye,$O346))-0.005,Pas_Arrondi))</f>
        <v>0</v>
      </c>
      <c r="R346" s="22" t="n">
        <f aca="false">IF(OR($A346="",N(M346)=0),0,CEILING(M346*(1+IF($O346="",Taux_Jur,$O346))-0.005,Pas_Arrondi))</f>
        <v>0</v>
      </c>
      <c r="S346" s="22" t="n">
        <f aca="false">IF(OR($A346="",N(N346)=0),0,CEILING(N346*(1+IF($O346="",Taux_PA,$O346))-0.005,Pas_Arrondi))</f>
        <v>0</v>
      </c>
      <c r="T346" s="22" t="str">
        <f aca="false">IF($A346="","",SUM(K346:N346))</f>
        <v/>
      </c>
      <c r="U346" s="22" t="str">
        <f aca="false">IF($A346="","",SUM(P346:S346))</f>
        <v/>
      </c>
      <c r="V346" s="22" t="str">
        <f aca="false">IF($A346="","",U346-T346)</f>
        <v/>
      </c>
      <c r="W346" s="23" t="str">
        <f aca="false">IF(OR($A346="",N(T346)=0),"",V346/T346)</f>
        <v/>
      </c>
      <c r="X346" s="18"/>
      <c r="Y346" s="18"/>
    </row>
    <row r="347" customFormat="false" ht="15" hidden="false" customHeight="false" outlineLevel="0" collapsed="false">
      <c r="A347" s="18"/>
      <c r="B347" s="18"/>
      <c r="C347" s="18"/>
      <c r="D347" s="18"/>
      <c r="E347" s="18"/>
      <c r="F347" s="18"/>
      <c r="G347" s="18"/>
      <c r="H347" s="19"/>
      <c r="I347" s="18"/>
      <c r="J347" s="18"/>
      <c r="K347" s="20"/>
      <c r="L347" s="20"/>
      <c r="M347" s="20"/>
      <c r="N347" s="20"/>
      <c r="O347" s="21"/>
      <c r="P347" s="22" t="n">
        <f aca="false">IF(OR($A347="",N(K347)=0),0,CEILING(K347*(1+IF($O347="",Taux_Compta,$O347))-0.005,Pas_Arrondi))</f>
        <v>0</v>
      </c>
      <c r="Q347" s="22" t="n">
        <f aca="false">IF(OR($A347="",N(L347)=0),0,CEILING(L347*(1+IF($O347="",Taux_Paye,$O347))-0.005,Pas_Arrondi))</f>
        <v>0</v>
      </c>
      <c r="R347" s="22" t="n">
        <f aca="false">IF(OR($A347="",N(M347)=0),0,CEILING(M347*(1+IF($O347="",Taux_Jur,$O347))-0.005,Pas_Arrondi))</f>
        <v>0</v>
      </c>
      <c r="S347" s="22" t="n">
        <f aca="false">IF(OR($A347="",N(N347)=0),0,CEILING(N347*(1+IF($O347="",Taux_PA,$O347))-0.005,Pas_Arrondi))</f>
        <v>0</v>
      </c>
      <c r="T347" s="22" t="str">
        <f aca="false">IF($A347="","",SUM(K347:N347))</f>
        <v/>
      </c>
      <c r="U347" s="22" t="str">
        <f aca="false">IF($A347="","",SUM(P347:S347))</f>
        <v/>
      </c>
      <c r="V347" s="22" t="str">
        <f aca="false">IF($A347="","",U347-T347)</f>
        <v/>
      </c>
      <c r="W347" s="23" t="str">
        <f aca="false">IF(OR($A347="",N(T347)=0),"",V347/T347)</f>
        <v/>
      </c>
      <c r="X347" s="18"/>
      <c r="Y347" s="18"/>
    </row>
    <row r="348" customFormat="false" ht="15" hidden="false" customHeight="false" outlineLevel="0" collapsed="false">
      <c r="A348" s="18"/>
      <c r="B348" s="18"/>
      <c r="C348" s="18"/>
      <c r="D348" s="18"/>
      <c r="E348" s="18"/>
      <c r="F348" s="18"/>
      <c r="G348" s="18"/>
      <c r="H348" s="19"/>
      <c r="I348" s="18"/>
      <c r="J348" s="18"/>
      <c r="K348" s="20"/>
      <c r="L348" s="20"/>
      <c r="M348" s="20"/>
      <c r="N348" s="20"/>
      <c r="O348" s="21"/>
      <c r="P348" s="22" t="n">
        <f aca="false">IF(OR($A348="",N(K348)=0),0,CEILING(K348*(1+IF($O348="",Taux_Compta,$O348))-0.005,Pas_Arrondi))</f>
        <v>0</v>
      </c>
      <c r="Q348" s="22" t="n">
        <f aca="false">IF(OR($A348="",N(L348)=0),0,CEILING(L348*(1+IF($O348="",Taux_Paye,$O348))-0.005,Pas_Arrondi))</f>
        <v>0</v>
      </c>
      <c r="R348" s="22" t="n">
        <f aca="false">IF(OR($A348="",N(M348)=0),0,CEILING(M348*(1+IF($O348="",Taux_Jur,$O348))-0.005,Pas_Arrondi))</f>
        <v>0</v>
      </c>
      <c r="S348" s="22" t="n">
        <f aca="false">IF(OR($A348="",N(N348)=0),0,CEILING(N348*(1+IF($O348="",Taux_PA,$O348))-0.005,Pas_Arrondi))</f>
        <v>0</v>
      </c>
      <c r="T348" s="22" t="str">
        <f aca="false">IF($A348="","",SUM(K348:N348))</f>
        <v/>
      </c>
      <c r="U348" s="22" t="str">
        <f aca="false">IF($A348="","",SUM(P348:S348))</f>
        <v/>
      </c>
      <c r="V348" s="22" t="str">
        <f aca="false">IF($A348="","",U348-T348)</f>
        <v/>
      </c>
      <c r="W348" s="23" t="str">
        <f aca="false">IF(OR($A348="",N(T348)=0),"",V348/T348)</f>
        <v/>
      </c>
      <c r="X348" s="18"/>
      <c r="Y348" s="18"/>
    </row>
    <row r="349" customFormat="false" ht="15" hidden="false" customHeight="false" outlineLevel="0" collapsed="false">
      <c r="A349" s="18"/>
      <c r="B349" s="18"/>
      <c r="C349" s="18"/>
      <c r="D349" s="18"/>
      <c r="E349" s="18"/>
      <c r="F349" s="18"/>
      <c r="G349" s="18"/>
      <c r="H349" s="19"/>
      <c r="I349" s="18"/>
      <c r="J349" s="18"/>
      <c r="K349" s="20"/>
      <c r="L349" s="20"/>
      <c r="M349" s="20"/>
      <c r="N349" s="20"/>
      <c r="O349" s="21"/>
      <c r="P349" s="22" t="n">
        <f aca="false">IF(OR($A349="",N(K349)=0),0,CEILING(K349*(1+IF($O349="",Taux_Compta,$O349))-0.005,Pas_Arrondi))</f>
        <v>0</v>
      </c>
      <c r="Q349" s="22" t="n">
        <f aca="false">IF(OR($A349="",N(L349)=0),0,CEILING(L349*(1+IF($O349="",Taux_Paye,$O349))-0.005,Pas_Arrondi))</f>
        <v>0</v>
      </c>
      <c r="R349" s="22" t="n">
        <f aca="false">IF(OR($A349="",N(M349)=0),0,CEILING(M349*(1+IF($O349="",Taux_Jur,$O349))-0.005,Pas_Arrondi))</f>
        <v>0</v>
      </c>
      <c r="S349" s="22" t="n">
        <f aca="false">IF(OR($A349="",N(N349)=0),0,CEILING(N349*(1+IF($O349="",Taux_PA,$O349))-0.005,Pas_Arrondi))</f>
        <v>0</v>
      </c>
      <c r="T349" s="22" t="str">
        <f aca="false">IF($A349="","",SUM(K349:N349))</f>
        <v/>
      </c>
      <c r="U349" s="22" t="str">
        <f aca="false">IF($A349="","",SUM(P349:S349))</f>
        <v/>
      </c>
      <c r="V349" s="22" t="str">
        <f aca="false">IF($A349="","",U349-T349)</f>
        <v/>
      </c>
      <c r="W349" s="23" t="str">
        <f aca="false">IF(OR($A349="",N(T349)=0),"",V349/T349)</f>
        <v/>
      </c>
      <c r="X349" s="18"/>
      <c r="Y349" s="18"/>
    </row>
    <row r="350" customFormat="false" ht="15" hidden="false" customHeight="false" outlineLevel="0" collapsed="false">
      <c r="A350" s="18"/>
      <c r="B350" s="18"/>
      <c r="C350" s="18"/>
      <c r="D350" s="18"/>
      <c r="E350" s="18"/>
      <c r="F350" s="18"/>
      <c r="G350" s="18"/>
      <c r="H350" s="19"/>
      <c r="I350" s="18"/>
      <c r="J350" s="18"/>
      <c r="K350" s="20"/>
      <c r="L350" s="20"/>
      <c r="M350" s="20"/>
      <c r="N350" s="20"/>
      <c r="O350" s="21"/>
      <c r="P350" s="22" t="n">
        <f aca="false">IF(OR($A350="",N(K350)=0),0,CEILING(K350*(1+IF($O350="",Taux_Compta,$O350))-0.005,Pas_Arrondi))</f>
        <v>0</v>
      </c>
      <c r="Q350" s="22" t="n">
        <f aca="false">IF(OR($A350="",N(L350)=0),0,CEILING(L350*(1+IF($O350="",Taux_Paye,$O350))-0.005,Pas_Arrondi))</f>
        <v>0</v>
      </c>
      <c r="R350" s="22" t="n">
        <f aca="false">IF(OR($A350="",N(M350)=0),0,CEILING(M350*(1+IF($O350="",Taux_Jur,$O350))-0.005,Pas_Arrondi))</f>
        <v>0</v>
      </c>
      <c r="S350" s="22" t="n">
        <f aca="false">IF(OR($A350="",N(N350)=0),0,CEILING(N350*(1+IF($O350="",Taux_PA,$O350))-0.005,Pas_Arrondi))</f>
        <v>0</v>
      </c>
      <c r="T350" s="22" t="str">
        <f aca="false">IF($A350="","",SUM(K350:N350))</f>
        <v/>
      </c>
      <c r="U350" s="22" t="str">
        <f aca="false">IF($A350="","",SUM(P350:S350))</f>
        <v/>
      </c>
      <c r="V350" s="22" t="str">
        <f aca="false">IF($A350="","",U350-T350)</f>
        <v/>
      </c>
      <c r="W350" s="23" t="str">
        <f aca="false">IF(OR($A350="",N(T350)=0),"",V350/T350)</f>
        <v/>
      </c>
      <c r="X350" s="18"/>
      <c r="Y350" s="18"/>
    </row>
    <row r="351" customFormat="false" ht="15" hidden="false" customHeight="false" outlineLevel="0" collapsed="false">
      <c r="A351" s="18"/>
      <c r="B351" s="18"/>
      <c r="C351" s="18"/>
      <c r="D351" s="18"/>
      <c r="E351" s="18"/>
      <c r="F351" s="18"/>
      <c r="G351" s="18"/>
      <c r="H351" s="19"/>
      <c r="I351" s="18"/>
      <c r="J351" s="18"/>
      <c r="K351" s="20"/>
      <c r="L351" s="20"/>
      <c r="M351" s="20"/>
      <c r="N351" s="20"/>
      <c r="O351" s="21"/>
      <c r="P351" s="22" t="n">
        <f aca="false">IF(OR($A351="",N(K351)=0),0,CEILING(K351*(1+IF($O351="",Taux_Compta,$O351))-0.005,Pas_Arrondi))</f>
        <v>0</v>
      </c>
      <c r="Q351" s="22" t="n">
        <f aca="false">IF(OR($A351="",N(L351)=0),0,CEILING(L351*(1+IF($O351="",Taux_Paye,$O351))-0.005,Pas_Arrondi))</f>
        <v>0</v>
      </c>
      <c r="R351" s="22" t="n">
        <f aca="false">IF(OR($A351="",N(M351)=0),0,CEILING(M351*(1+IF($O351="",Taux_Jur,$O351))-0.005,Pas_Arrondi))</f>
        <v>0</v>
      </c>
      <c r="S351" s="22" t="n">
        <f aca="false">IF(OR($A351="",N(N351)=0),0,CEILING(N351*(1+IF($O351="",Taux_PA,$O351))-0.005,Pas_Arrondi))</f>
        <v>0</v>
      </c>
      <c r="T351" s="22" t="str">
        <f aca="false">IF($A351="","",SUM(K351:N351))</f>
        <v/>
      </c>
      <c r="U351" s="22" t="str">
        <f aca="false">IF($A351="","",SUM(P351:S351))</f>
        <v/>
      </c>
      <c r="V351" s="22" t="str">
        <f aca="false">IF($A351="","",U351-T351)</f>
        <v/>
      </c>
      <c r="W351" s="23" t="str">
        <f aca="false">IF(OR($A351="",N(T351)=0),"",V351/T351)</f>
        <v/>
      </c>
      <c r="X351" s="18"/>
      <c r="Y351" s="18"/>
    </row>
    <row r="352" customFormat="false" ht="15" hidden="false" customHeight="false" outlineLevel="0" collapsed="false">
      <c r="A352" s="18"/>
      <c r="B352" s="18"/>
      <c r="C352" s="18"/>
      <c r="D352" s="18"/>
      <c r="E352" s="18"/>
      <c r="F352" s="18"/>
      <c r="G352" s="18"/>
      <c r="H352" s="19"/>
      <c r="I352" s="18"/>
      <c r="J352" s="18"/>
      <c r="K352" s="20"/>
      <c r="L352" s="20"/>
      <c r="M352" s="20"/>
      <c r="N352" s="20"/>
      <c r="O352" s="21"/>
      <c r="P352" s="22" t="n">
        <f aca="false">IF(OR($A352="",N(K352)=0),0,CEILING(K352*(1+IF($O352="",Taux_Compta,$O352))-0.005,Pas_Arrondi))</f>
        <v>0</v>
      </c>
      <c r="Q352" s="22" t="n">
        <f aca="false">IF(OR($A352="",N(L352)=0),0,CEILING(L352*(1+IF($O352="",Taux_Paye,$O352))-0.005,Pas_Arrondi))</f>
        <v>0</v>
      </c>
      <c r="R352" s="22" t="n">
        <f aca="false">IF(OR($A352="",N(M352)=0),0,CEILING(M352*(1+IF($O352="",Taux_Jur,$O352))-0.005,Pas_Arrondi))</f>
        <v>0</v>
      </c>
      <c r="S352" s="22" t="n">
        <f aca="false">IF(OR($A352="",N(N352)=0),0,CEILING(N352*(1+IF($O352="",Taux_PA,$O352))-0.005,Pas_Arrondi))</f>
        <v>0</v>
      </c>
      <c r="T352" s="22" t="str">
        <f aca="false">IF($A352="","",SUM(K352:N352))</f>
        <v/>
      </c>
      <c r="U352" s="22" t="str">
        <f aca="false">IF($A352="","",SUM(P352:S352))</f>
        <v/>
      </c>
      <c r="V352" s="22" t="str">
        <f aca="false">IF($A352="","",U352-T352)</f>
        <v/>
      </c>
      <c r="W352" s="23" t="str">
        <f aca="false">IF(OR($A352="",N(T352)=0),"",V352/T352)</f>
        <v/>
      </c>
      <c r="X352" s="18"/>
      <c r="Y352" s="18"/>
    </row>
    <row r="353" customFormat="false" ht="15" hidden="false" customHeight="false" outlineLevel="0" collapsed="false">
      <c r="A353" s="18"/>
      <c r="B353" s="18"/>
      <c r="C353" s="18"/>
      <c r="D353" s="18"/>
      <c r="E353" s="18"/>
      <c r="F353" s="18"/>
      <c r="G353" s="18"/>
      <c r="H353" s="19"/>
      <c r="I353" s="18"/>
      <c r="J353" s="18"/>
      <c r="K353" s="20"/>
      <c r="L353" s="20"/>
      <c r="M353" s="20"/>
      <c r="N353" s="20"/>
      <c r="O353" s="21"/>
      <c r="P353" s="22" t="n">
        <f aca="false">IF(OR($A353="",N(K353)=0),0,CEILING(K353*(1+IF($O353="",Taux_Compta,$O353))-0.005,Pas_Arrondi))</f>
        <v>0</v>
      </c>
      <c r="Q353" s="22" t="n">
        <f aca="false">IF(OR($A353="",N(L353)=0),0,CEILING(L353*(1+IF($O353="",Taux_Paye,$O353))-0.005,Pas_Arrondi))</f>
        <v>0</v>
      </c>
      <c r="R353" s="22" t="n">
        <f aca="false">IF(OR($A353="",N(M353)=0),0,CEILING(M353*(1+IF($O353="",Taux_Jur,$O353))-0.005,Pas_Arrondi))</f>
        <v>0</v>
      </c>
      <c r="S353" s="22" t="n">
        <f aca="false">IF(OR($A353="",N(N353)=0),0,CEILING(N353*(1+IF($O353="",Taux_PA,$O353))-0.005,Pas_Arrondi))</f>
        <v>0</v>
      </c>
      <c r="T353" s="22" t="str">
        <f aca="false">IF($A353="","",SUM(K353:N353))</f>
        <v/>
      </c>
      <c r="U353" s="22" t="str">
        <f aca="false">IF($A353="","",SUM(P353:S353))</f>
        <v/>
      </c>
      <c r="V353" s="22" t="str">
        <f aca="false">IF($A353="","",U353-T353)</f>
        <v/>
      </c>
      <c r="W353" s="23" t="str">
        <f aca="false">IF(OR($A353="",N(T353)=0),"",V353/T353)</f>
        <v/>
      </c>
      <c r="X353" s="18"/>
      <c r="Y353" s="18"/>
    </row>
    <row r="354" customFormat="false" ht="15" hidden="false" customHeight="false" outlineLevel="0" collapsed="false">
      <c r="A354" s="18"/>
      <c r="B354" s="18"/>
      <c r="C354" s="18"/>
      <c r="D354" s="18"/>
      <c r="E354" s="18"/>
      <c r="F354" s="18"/>
      <c r="G354" s="18"/>
      <c r="H354" s="19"/>
      <c r="I354" s="18"/>
      <c r="J354" s="18"/>
      <c r="K354" s="20"/>
      <c r="L354" s="20"/>
      <c r="M354" s="20"/>
      <c r="N354" s="20"/>
      <c r="O354" s="21"/>
      <c r="P354" s="22" t="n">
        <f aca="false">IF(OR($A354="",N(K354)=0),0,CEILING(K354*(1+IF($O354="",Taux_Compta,$O354))-0.005,Pas_Arrondi))</f>
        <v>0</v>
      </c>
      <c r="Q354" s="22" t="n">
        <f aca="false">IF(OR($A354="",N(L354)=0),0,CEILING(L354*(1+IF($O354="",Taux_Paye,$O354))-0.005,Pas_Arrondi))</f>
        <v>0</v>
      </c>
      <c r="R354" s="22" t="n">
        <f aca="false">IF(OR($A354="",N(M354)=0),0,CEILING(M354*(1+IF($O354="",Taux_Jur,$O354))-0.005,Pas_Arrondi))</f>
        <v>0</v>
      </c>
      <c r="S354" s="22" t="n">
        <f aca="false">IF(OR($A354="",N(N354)=0),0,CEILING(N354*(1+IF($O354="",Taux_PA,$O354))-0.005,Pas_Arrondi))</f>
        <v>0</v>
      </c>
      <c r="T354" s="22" t="str">
        <f aca="false">IF($A354="","",SUM(K354:N354))</f>
        <v/>
      </c>
      <c r="U354" s="22" t="str">
        <f aca="false">IF($A354="","",SUM(P354:S354))</f>
        <v/>
      </c>
      <c r="V354" s="22" t="str">
        <f aca="false">IF($A354="","",U354-T354)</f>
        <v/>
      </c>
      <c r="W354" s="23" t="str">
        <f aca="false">IF(OR($A354="",N(T354)=0),"",V354/T354)</f>
        <v/>
      </c>
      <c r="X354" s="18"/>
      <c r="Y354" s="18"/>
    </row>
    <row r="355" customFormat="false" ht="15" hidden="false" customHeight="false" outlineLevel="0" collapsed="false">
      <c r="A355" s="18"/>
      <c r="B355" s="18"/>
      <c r="C355" s="18"/>
      <c r="D355" s="18"/>
      <c r="E355" s="18"/>
      <c r="F355" s="18"/>
      <c r="G355" s="18"/>
      <c r="H355" s="19"/>
      <c r="I355" s="18"/>
      <c r="J355" s="18"/>
      <c r="K355" s="20"/>
      <c r="L355" s="20"/>
      <c r="M355" s="20"/>
      <c r="N355" s="20"/>
      <c r="O355" s="21"/>
      <c r="P355" s="22" t="n">
        <f aca="false">IF(OR($A355="",N(K355)=0),0,CEILING(K355*(1+IF($O355="",Taux_Compta,$O355))-0.005,Pas_Arrondi))</f>
        <v>0</v>
      </c>
      <c r="Q355" s="22" t="n">
        <f aca="false">IF(OR($A355="",N(L355)=0),0,CEILING(L355*(1+IF($O355="",Taux_Paye,$O355))-0.005,Pas_Arrondi))</f>
        <v>0</v>
      </c>
      <c r="R355" s="22" t="n">
        <f aca="false">IF(OR($A355="",N(M355)=0),0,CEILING(M355*(1+IF($O355="",Taux_Jur,$O355))-0.005,Pas_Arrondi))</f>
        <v>0</v>
      </c>
      <c r="S355" s="22" t="n">
        <f aca="false">IF(OR($A355="",N(N355)=0),0,CEILING(N355*(1+IF($O355="",Taux_PA,$O355))-0.005,Pas_Arrondi))</f>
        <v>0</v>
      </c>
      <c r="T355" s="22" t="str">
        <f aca="false">IF($A355="","",SUM(K355:N355))</f>
        <v/>
      </c>
      <c r="U355" s="22" t="str">
        <f aca="false">IF($A355="","",SUM(P355:S355))</f>
        <v/>
      </c>
      <c r="V355" s="22" t="str">
        <f aca="false">IF($A355="","",U355-T355)</f>
        <v/>
      </c>
      <c r="W355" s="23" t="str">
        <f aca="false">IF(OR($A355="",N(T355)=0),"",V355/T355)</f>
        <v/>
      </c>
      <c r="X355" s="18"/>
      <c r="Y355" s="18"/>
    </row>
    <row r="356" customFormat="false" ht="15" hidden="false" customHeight="false" outlineLevel="0" collapsed="false">
      <c r="A356" s="18"/>
      <c r="B356" s="18"/>
      <c r="C356" s="18"/>
      <c r="D356" s="18"/>
      <c r="E356" s="18"/>
      <c r="F356" s="18"/>
      <c r="G356" s="18"/>
      <c r="H356" s="19"/>
      <c r="I356" s="18"/>
      <c r="J356" s="18"/>
      <c r="K356" s="20"/>
      <c r="L356" s="20"/>
      <c r="M356" s="20"/>
      <c r="N356" s="20"/>
      <c r="O356" s="21"/>
      <c r="P356" s="22" t="n">
        <f aca="false">IF(OR($A356="",N(K356)=0),0,CEILING(K356*(1+IF($O356="",Taux_Compta,$O356))-0.005,Pas_Arrondi))</f>
        <v>0</v>
      </c>
      <c r="Q356" s="22" t="n">
        <f aca="false">IF(OR($A356="",N(L356)=0),0,CEILING(L356*(1+IF($O356="",Taux_Paye,$O356))-0.005,Pas_Arrondi))</f>
        <v>0</v>
      </c>
      <c r="R356" s="22" t="n">
        <f aca="false">IF(OR($A356="",N(M356)=0),0,CEILING(M356*(1+IF($O356="",Taux_Jur,$O356))-0.005,Pas_Arrondi))</f>
        <v>0</v>
      </c>
      <c r="S356" s="22" t="n">
        <f aca="false">IF(OR($A356="",N(N356)=0),0,CEILING(N356*(1+IF($O356="",Taux_PA,$O356))-0.005,Pas_Arrondi))</f>
        <v>0</v>
      </c>
      <c r="T356" s="22" t="str">
        <f aca="false">IF($A356="","",SUM(K356:N356))</f>
        <v/>
      </c>
      <c r="U356" s="22" t="str">
        <f aca="false">IF($A356="","",SUM(P356:S356))</f>
        <v/>
      </c>
      <c r="V356" s="22" t="str">
        <f aca="false">IF($A356="","",U356-T356)</f>
        <v/>
      </c>
      <c r="W356" s="23" t="str">
        <f aca="false">IF(OR($A356="",N(T356)=0),"",V356/T356)</f>
        <v/>
      </c>
      <c r="X356" s="18"/>
      <c r="Y356" s="18"/>
    </row>
    <row r="357" customFormat="false" ht="15" hidden="false" customHeight="false" outlineLevel="0" collapsed="false">
      <c r="A357" s="18"/>
      <c r="B357" s="18"/>
      <c r="C357" s="18"/>
      <c r="D357" s="18"/>
      <c r="E357" s="18"/>
      <c r="F357" s="18"/>
      <c r="G357" s="18"/>
      <c r="H357" s="19"/>
      <c r="I357" s="18"/>
      <c r="J357" s="18"/>
      <c r="K357" s="20"/>
      <c r="L357" s="20"/>
      <c r="M357" s="20"/>
      <c r="N357" s="20"/>
      <c r="O357" s="21"/>
      <c r="P357" s="22" t="n">
        <f aca="false">IF(OR($A357="",N(K357)=0),0,CEILING(K357*(1+IF($O357="",Taux_Compta,$O357))-0.005,Pas_Arrondi))</f>
        <v>0</v>
      </c>
      <c r="Q357" s="22" t="n">
        <f aca="false">IF(OR($A357="",N(L357)=0),0,CEILING(L357*(1+IF($O357="",Taux_Paye,$O357))-0.005,Pas_Arrondi))</f>
        <v>0</v>
      </c>
      <c r="R357" s="22" t="n">
        <f aca="false">IF(OR($A357="",N(M357)=0),0,CEILING(M357*(1+IF($O357="",Taux_Jur,$O357))-0.005,Pas_Arrondi))</f>
        <v>0</v>
      </c>
      <c r="S357" s="22" t="n">
        <f aca="false">IF(OR($A357="",N(N357)=0),0,CEILING(N357*(1+IF($O357="",Taux_PA,$O357))-0.005,Pas_Arrondi))</f>
        <v>0</v>
      </c>
      <c r="T357" s="22" t="str">
        <f aca="false">IF($A357="","",SUM(K357:N357))</f>
        <v/>
      </c>
      <c r="U357" s="22" t="str">
        <f aca="false">IF($A357="","",SUM(P357:S357))</f>
        <v/>
      </c>
      <c r="V357" s="22" t="str">
        <f aca="false">IF($A357="","",U357-T357)</f>
        <v/>
      </c>
      <c r="W357" s="23" t="str">
        <f aca="false">IF(OR($A357="",N(T357)=0),"",V357/T357)</f>
        <v/>
      </c>
      <c r="X357" s="18"/>
      <c r="Y357" s="18"/>
    </row>
    <row r="358" customFormat="false" ht="15" hidden="false" customHeight="false" outlineLevel="0" collapsed="false">
      <c r="A358" s="18"/>
      <c r="B358" s="18"/>
      <c r="C358" s="18"/>
      <c r="D358" s="18"/>
      <c r="E358" s="18"/>
      <c r="F358" s="18"/>
      <c r="G358" s="18"/>
      <c r="H358" s="19"/>
      <c r="I358" s="18"/>
      <c r="J358" s="18"/>
      <c r="K358" s="20"/>
      <c r="L358" s="20"/>
      <c r="M358" s="20"/>
      <c r="N358" s="20"/>
      <c r="O358" s="21"/>
      <c r="P358" s="22" t="n">
        <f aca="false">IF(OR($A358="",N(K358)=0),0,CEILING(K358*(1+IF($O358="",Taux_Compta,$O358))-0.005,Pas_Arrondi))</f>
        <v>0</v>
      </c>
      <c r="Q358" s="22" t="n">
        <f aca="false">IF(OR($A358="",N(L358)=0),0,CEILING(L358*(1+IF($O358="",Taux_Paye,$O358))-0.005,Pas_Arrondi))</f>
        <v>0</v>
      </c>
      <c r="R358" s="22" t="n">
        <f aca="false">IF(OR($A358="",N(M358)=0),0,CEILING(M358*(1+IF($O358="",Taux_Jur,$O358))-0.005,Pas_Arrondi))</f>
        <v>0</v>
      </c>
      <c r="S358" s="22" t="n">
        <f aca="false">IF(OR($A358="",N(N358)=0),0,CEILING(N358*(1+IF($O358="",Taux_PA,$O358))-0.005,Pas_Arrondi))</f>
        <v>0</v>
      </c>
      <c r="T358" s="22" t="str">
        <f aca="false">IF($A358="","",SUM(K358:N358))</f>
        <v/>
      </c>
      <c r="U358" s="22" t="str">
        <f aca="false">IF($A358="","",SUM(P358:S358))</f>
        <v/>
      </c>
      <c r="V358" s="22" t="str">
        <f aca="false">IF($A358="","",U358-T358)</f>
        <v/>
      </c>
      <c r="W358" s="23" t="str">
        <f aca="false">IF(OR($A358="",N(T358)=0),"",V358/T358)</f>
        <v/>
      </c>
      <c r="X358" s="18"/>
      <c r="Y358" s="18"/>
    </row>
    <row r="359" customFormat="false" ht="15" hidden="false" customHeight="false" outlineLevel="0" collapsed="false">
      <c r="A359" s="18"/>
      <c r="B359" s="18"/>
      <c r="C359" s="18"/>
      <c r="D359" s="18"/>
      <c r="E359" s="18"/>
      <c r="F359" s="18"/>
      <c r="G359" s="18"/>
      <c r="H359" s="19"/>
      <c r="I359" s="18"/>
      <c r="J359" s="18"/>
      <c r="K359" s="20"/>
      <c r="L359" s="20"/>
      <c r="M359" s="20"/>
      <c r="N359" s="20"/>
      <c r="O359" s="21"/>
      <c r="P359" s="22" t="n">
        <f aca="false">IF(OR($A359="",N(K359)=0),0,CEILING(K359*(1+IF($O359="",Taux_Compta,$O359))-0.005,Pas_Arrondi))</f>
        <v>0</v>
      </c>
      <c r="Q359" s="22" t="n">
        <f aca="false">IF(OR($A359="",N(L359)=0),0,CEILING(L359*(1+IF($O359="",Taux_Paye,$O359))-0.005,Pas_Arrondi))</f>
        <v>0</v>
      </c>
      <c r="R359" s="22" t="n">
        <f aca="false">IF(OR($A359="",N(M359)=0),0,CEILING(M359*(1+IF($O359="",Taux_Jur,$O359))-0.005,Pas_Arrondi))</f>
        <v>0</v>
      </c>
      <c r="S359" s="22" t="n">
        <f aca="false">IF(OR($A359="",N(N359)=0),0,CEILING(N359*(1+IF($O359="",Taux_PA,$O359))-0.005,Pas_Arrondi))</f>
        <v>0</v>
      </c>
      <c r="T359" s="22" t="str">
        <f aca="false">IF($A359="","",SUM(K359:N359))</f>
        <v/>
      </c>
      <c r="U359" s="22" t="str">
        <f aca="false">IF($A359="","",SUM(P359:S359))</f>
        <v/>
      </c>
      <c r="V359" s="22" t="str">
        <f aca="false">IF($A359="","",U359-T359)</f>
        <v/>
      </c>
      <c r="W359" s="23" t="str">
        <f aca="false">IF(OR($A359="",N(T359)=0),"",V359/T359)</f>
        <v/>
      </c>
      <c r="X359" s="18"/>
      <c r="Y359" s="18"/>
    </row>
    <row r="360" customFormat="false" ht="15" hidden="false" customHeight="false" outlineLevel="0" collapsed="false">
      <c r="A360" s="18"/>
      <c r="B360" s="18"/>
      <c r="C360" s="18"/>
      <c r="D360" s="18"/>
      <c r="E360" s="18"/>
      <c r="F360" s="18"/>
      <c r="G360" s="18"/>
      <c r="H360" s="19"/>
      <c r="I360" s="18"/>
      <c r="J360" s="18"/>
      <c r="K360" s="20"/>
      <c r="L360" s="20"/>
      <c r="M360" s="20"/>
      <c r="N360" s="20"/>
      <c r="O360" s="21"/>
      <c r="P360" s="22" t="n">
        <f aca="false">IF(OR($A360="",N(K360)=0),0,CEILING(K360*(1+IF($O360="",Taux_Compta,$O360))-0.005,Pas_Arrondi))</f>
        <v>0</v>
      </c>
      <c r="Q360" s="22" t="n">
        <f aca="false">IF(OR($A360="",N(L360)=0),0,CEILING(L360*(1+IF($O360="",Taux_Paye,$O360))-0.005,Pas_Arrondi))</f>
        <v>0</v>
      </c>
      <c r="R360" s="22" t="n">
        <f aca="false">IF(OR($A360="",N(M360)=0),0,CEILING(M360*(1+IF($O360="",Taux_Jur,$O360))-0.005,Pas_Arrondi))</f>
        <v>0</v>
      </c>
      <c r="S360" s="22" t="n">
        <f aca="false">IF(OR($A360="",N(N360)=0),0,CEILING(N360*(1+IF($O360="",Taux_PA,$O360))-0.005,Pas_Arrondi))</f>
        <v>0</v>
      </c>
      <c r="T360" s="22" t="str">
        <f aca="false">IF($A360="","",SUM(K360:N360))</f>
        <v/>
      </c>
      <c r="U360" s="22" t="str">
        <f aca="false">IF($A360="","",SUM(P360:S360))</f>
        <v/>
      </c>
      <c r="V360" s="22" t="str">
        <f aca="false">IF($A360="","",U360-T360)</f>
        <v/>
      </c>
      <c r="W360" s="23" t="str">
        <f aca="false">IF(OR($A360="",N(T360)=0),"",V360/T360)</f>
        <v/>
      </c>
      <c r="X360" s="18"/>
      <c r="Y360" s="18"/>
    </row>
    <row r="361" customFormat="false" ht="15" hidden="false" customHeight="false" outlineLevel="0" collapsed="false">
      <c r="A361" s="18"/>
      <c r="B361" s="18"/>
      <c r="C361" s="18"/>
      <c r="D361" s="18"/>
      <c r="E361" s="18"/>
      <c r="F361" s="18"/>
      <c r="G361" s="18"/>
      <c r="H361" s="19"/>
      <c r="I361" s="18"/>
      <c r="J361" s="18"/>
      <c r="K361" s="20"/>
      <c r="L361" s="20"/>
      <c r="M361" s="20"/>
      <c r="N361" s="20"/>
      <c r="O361" s="21"/>
      <c r="P361" s="22" t="n">
        <f aca="false">IF(OR($A361="",N(K361)=0),0,CEILING(K361*(1+IF($O361="",Taux_Compta,$O361))-0.005,Pas_Arrondi))</f>
        <v>0</v>
      </c>
      <c r="Q361" s="22" t="n">
        <f aca="false">IF(OR($A361="",N(L361)=0),0,CEILING(L361*(1+IF($O361="",Taux_Paye,$O361))-0.005,Pas_Arrondi))</f>
        <v>0</v>
      </c>
      <c r="R361" s="22" t="n">
        <f aca="false">IF(OR($A361="",N(M361)=0),0,CEILING(M361*(1+IF($O361="",Taux_Jur,$O361))-0.005,Pas_Arrondi))</f>
        <v>0</v>
      </c>
      <c r="S361" s="22" t="n">
        <f aca="false">IF(OR($A361="",N(N361)=0),0,CEILING(N361*(1+IF($O361="",Taux_PA,$O361))-0.005,Pas_Arrondi))</f>
        <v>0</v>
      </c>
      <c r="T361" s="22" t="str">
        <f aca="false">IF($A361="","",SUM(K361:N361))</f>
        <v/>
      </c>
      <c r="U361" s="22" t="str">
        <f aca="false">IF($A361="","",SUM(P361:S361))</f>
        <v/>
      </c>
      <c r="V361" s="22" t="str">
        <f aca="false">IF($A361="","",U361-T361)</f>
        <v/>
      </c>
      <c r="W361" s="23" t="str">
        <f aca="false">IF(OR($A361="",N(T361)=0),"",V361/T361)</f>
        <v/>
      </c>
      <c r="X361" s="18"/>
      <c r="Y361" s="18"/>
    </row>
    <row r="362" customFormat="false" ht="15" hidden="false" customHeight="false" outlineLevel="0" collapsed="false">
      <c r="A362" s="18"/>
      <c r="B362" s="18"/>
      <c r="C362" s="18"/>
      <c r="D362" s="18"/>
      <c r="E362" s="18"/>
      <c r="F362" s="18"/>
      <c r="G362" s="18"/>
      <c r="H362" s="19"/>
      <c r="I362" s="18"/>
      <c r="J362" s="18"/>
      <c r="K362" s="20"/>
      <c r="L362" s="20"/>
      <c r="M362" s="20"/>
      <c r="N362" s="20"/>
      <c r="O362" s="21"/>
      <c r="P362" s="22" t="n">
        <f aca="false">IF(OR($A362="",N(K362)=0),0,CEILING(K362*(1+IF($O362="",Taux_Compta,$O362))-0.005,Pas_Arrondi))</f>
        <v>0</v>
      </c>
      <c r="Q362" s="22" t="n">
        <f aca="false">IF(OR($A362="",N(L362)=0),0,CEILING(L362*(1+IF($O362="",Taux_Paye,$O362))-0.005,Pas_Arrondi))</f>
        <v>0</v>
      </c>
      <c r="R362" s="22" t="n">
        <f aca="false">IF(OR($A362="",N(M362)=0),0,CEILING(M362*(1+IF($O362="",Taux_Jur,$O362))-0.005,Pas_Arrondi))</f>
        <v>0</v>
      </c>
      <c r="S362" s="22" t="n">
        <f aca="false">IF(OR($A362="",N(N362)=0),0,CEILING(N362*(1+IF($O362="",Taux_PA,$O362))-0.005,Pas_Arrondi))</f>
        <v>0</v>
      </c>
      <c r="T362" s="22" t="str">
        <f aca="false">IF($A362="","",SUM(K362:N362))</f>
        <v/>
      </c>
      <c r="U362" s="22" t="str">
        <f aca="false">IF($A362="","",SUM(P362:S362))</f>
        <v/>
      </c>
      <c r="V362" s="22" t="str">
        <f aca="false">IF($A362="","",U362-T362)</f>
        <v/>
      </c>
      <c r="W362" s="23" t="str">
        <f aca="false">IF(OR($A362="",N(T362)=0),"",V362/T362)</f>
        <v/>
      </c>
      <c r="X362" s="18"/>
      <c r="Y362" s="18"/>
    </row>
    <row r="363" customFormat="false" ht="15" hidden="false" customHeight="false" outlineLevel="0" collapsed="false">
      <c r="A363" s="18"/>
      <c r="B363" s="18"/>
      <c r="C363" s="18"/>
      <c r="D363" s="18"/>
      <c r="E363" s="18"/>
      <c r="F363" s="18"/>
      <c r="G363" s="18"/>
      <c r="H363" s="19"/>
      <c r="I363" s="18"/>
      <c r="J363" s="18"/>
      <c r="K363" s="20"/>
      <c r="L363" s="20"/>
      <c r="M363" s="20"/>
      <c r="N363" s="20"/>
      <c r="O363" s="21"/>
      <c r="P363" s="22" t="n">
        <f aca="false">IF(OR($A363="",N(K363)=0),0,CEILING(K363*(1+IF($O363="",Taux_Compta,$O363))-0.005,Pas_Arrondi))</f>
        <v>0</v>
      </c>
      <c r="Q363" s="22" t="n">
        <f aca="false">IF(OR($A363="",N(L363)=0),0,CEILING(L363*(1+IF($O363="",Taux_Paye,$O363))-0.005,Pas_Arrondi))</f>
        <v>0</v>
      </c>
      <c r="R363" s="22" t="n">
        <f aca="false">IF(OR($A363="",N(M363)=0),0,CEILING(M363*(1+IF($O363="",Taux_Jur,$O363))-0.005,Pas_Arrondi))</f>
        <v>0</v>
      </c>
      <c r="S363" s="22" t="n">
        <f aca="false">IF(OR($A363="",N(N363)=0),0,CEILING(N363*(1+IF($O363="",Taux_PA,$O363))-0.005,Pas_Arrondi))</f>
        <v>0</v>
      </c>
      <c r="T363" s="22" t="str">
        <f aca="false">IF($A363="","",SUM(K363:N363))</f>
        <v/>
      </c>
      <c r="U363" s="22" t="str">
        <f aca="false">IF($A363="","",SUM(P363:S363))</f>
        <v/>
      </c>
      <c r="V363" s="22" t="str">
        <f aca="false">IF($A363="","",U363-T363)</f>
        <v/>
      </c>
      <c r="W363" s="23" t="str">
        <f aca="false">IF(OR($A363="",N(T363)=0),"",V363/T363)</f>
        <v/>
      </c>
      <c r="X363" s="18"/>
      <c r="Y363" s="18"/>
    </row>
    <row r="364" customFormat="false" ht="15" hidden="false" customHeight="false" outlineLevel="0" collapsed="false">
      <c r="A364" s="18"/>
      <c r="B364" s="18"/>
      <c r="C364" s="18"/>
      <c r="D364" s="18"/>
      <c r="E364" s="18"/>
      <c r="F364" s="18"/>
      <c r="G364" s="18"/>
      <c r="H364" s="19"/>
      <c r="I364" s="18"/>
      <c r="J364" s="18"/>
      <c r="K364" s="20"/>
      <c r="L364" s="20"/>
      <c r="M364" s="20"/>
      <c r="N364" s="20"/>
      <c r="O364" s="21"/>
      <c r="P364" s="22" t="n">
        <f aca="false">IF(OR($A364="",N(K364)=0),0,CEILING(K364*(1+IF($O364="",Taux_Compta,$O364))-0.005,Pas_Arrondi))</f>
        <v>0</v>
      </c>
      <c r="Q364" s="22" t="n">
        <f aca="false">IF(OR($A364="",N(L364)=0),0,CEILING(L364*(1+IF($O364="",Taux_Paye,$O364))-0.005,Pas_Arrondi))</f>
        <v>0</v>
      </c>
      <c r="R364" s="22" t="n">
        <f aca="false">IF(OR($A364="",N(M364)=0),0,CEILING(M364*(1+IF($O364="",Taux_Jur,$O364))-0.005,Pas_Arrondi))</f>
        <v>0</v>
      </c>
      <c r="S364" s="22" t="n">
        <f aca="false">IF(OR($A364="",N(N364)=0),0,CEILING(N364*(1+IF($O364="",Taux_PA,$O364))-0.005,Pas_Arrondi))</f>
        <v>0</v>
      </c>
      <c r="T364" s="22" t="str">
        <f aca="false">IF($A364="","",SUM(K364:N364))</f>
        <v/>
      </c>
      <c r="U364" s="22" t="str">
        <f aca="false">IF($A364="","",SUM(P364:S364))</f>
        <v/>
      </c>
      <c r="V364" s="22" t="str">
        <f aca="false">IF($A364="","",U364-T364)</f>
        <v/>
      </c>
      <c r="W364" s="23" t="str">
        <f aca="false">IF(OR($A364="",N(T364)=0),"",V364/T364)</f>
        <v/>
      </c>
      <c r="X364" s="18"/>
      <c r="Y364" s="18"/>
    </row>
    <row r="365" customFormat="false" ht="15" hidden="false" customHeight="false" outlineLevel="0" collapsed="false">
      <c r="A365" s="18"/>
      <c r="B365" s="18"/>
      <c r="C365" s="18"/>
      <c r="D365" s="18"/>
      <c r="E365" s="18"/>
      <c r="F365" s="18"/>
      <c r="G365" s="18"/>
      <c r="H365" s="19"/>
      <c r="I365" s="18"/>
      <c r="J365" s="18"/>
      <c r="K365" s="20"/>
      <c r="L365" s="20"/>
      <c r="M365" s="20"/>
      <c r="N365" s="20"/>
      <c r="O365" s="21"/>
      <c r="P365" s="22" t="n">
        <f aca="false">IF(OR($A365="",N(K365)=0),0,CEILING(K365*(1+IF($O365="",Taux_Compta,$O365))-0.005,Pas_Arrondi))</f>
        <v>0</v>
      </c>
      <c r="Q365" s="22" t="n">
        <f aca="false">IF(OR($A365="",N(L365)=0),0,CEILING(L365*(1+IF($O365="",Taux_Paye,$O365))-0.005,Pas_Arrondi))</f>
        <v>0</v>
      </c>
      <c r="R365" s="22" t="n">
        <f aca="false">IF(OR($A365="",N(M365)=0),0,CEILING(M365*(1+IF($O365="",Taux_Jur,$O365))-0.005,Pas_Arrondi))</f>
        <v>0</v>
      </c>
      <c r="S365" s="22" t="n">
        <f aca="false">IF(OR($A365="",N(N365)=0),0,CEILING(N365*(1+IF($O365="",Taux_PA,$O365))-0.005,Pas_Arrondi))</f>
        <v>0</v>
      </c>
      <c r="T365" s="22" t="str">
        <f aca="false">IF($A365="","",SUM(K365:N365))</f>
        <v/>
      </c>
      <c r="U365" s="22" t="str">
        <f aca="false">IF($A365="","",SUM(P365:S365))</f>
        <v/>
      </c>
      <c r="V365" s="22" t="str">
        <f aca="false">IF($A365="","",U365-T365)</f>
        <v/>
      </c>
      <c r="W365" s="23" t="str">
        <f aca="false">IF(OR($A365="",N(T365)=0),"",V365/T365)</f>
        <v/>
      </c>
      <c r="X365" s="18"/>
      <c r="Y365" s="18"/>
    </row>
    <row r="366" customFormat="false" ht="15" hidden="false" customHeight="false" outlineLevel="0" collapsed="false">
      <c r="A366" s="18"/>
      <c r="B366" s="18"/>
      <c r="C366" s="18"/>
      <c r="D366" s="18"/>
      <c r="E366" s="18"/>
      <c r="F366" s="18"/>
      <c r="G366" s="18"/>
      <c r="H366" s="19"/>
      <c r="I366" s="18"/>
      <c r="J366" s="18"/>
      <c r="K366" s="20"/>
      <c r="L366" s="20"/>
      <c r="M366" s="20"/>
      <c r="N366" s="20"/>
      <c r="O366" s="21"/>
      <c r="P366" s="22" t="n">
        <f aca="false">IF(OR($A366="",N(K366)=0),0,CEILING(K366*(1+IF($O366="",Taux_Compta,$O366))-0.005,Pas_Arrondi))</f>
        <v>0</v>
      </c>
      <c r="Q366" s="22" t="n">
        <f aca="false">IF(OR($A366="",N(L366)=0),0,CEILING(L366*(1+IF($O366="",Taux_Paye,$O366))-0.005,Pas_Arrondi))</f>
        <v>0</v>
      </c>
      <c r="R366" s="22" t="n">
        <f aca="false">IF(OR($A366="",N(M366)=0),0,CEILING(M366*(1+IF($O366="",Taux_Jur,$O366))-0.005,Pas_Arrondi))</f>
        <v>0</v>
      </c>
      <c r="S366" s="22" t="n">
        <f aca="false">IF(OR($A366="",N(N366)=0),0,CEILING(N366*(1+IF($O366="",Taux_PA,$O366))-0.005,Pas_Arrondi))</f>
        <v>0</v>
      </c>
      <c r="T366" s="22" t="str">
        <f aca="false">IF($A366="","",SUM(K366:N366))</f>
        <v/>
      </c>
      <c r="U366" s="22" t="str">
        <f aca="false">IF($A366="","",SUM(P366:S366))</f>
        <v/>
      </c>
      <c r="V366" s="22" t="str">
        <f aca="false">IF($A366="","",U366-T366)</f>
        <v/>
      </c>
      <c r="W366" s="23" t="str">
        <f aca="false">IF(OR($A366="",N(T366)=0),"",V366/T366)</f>
        <v/>
      </c>
      <c r="X366" s="18"/>
      <c r="Y366" s="18"/>
    </row>
    <row r="367" customFormat="false" ht="15" hidden="false" customHeight="false" outlineLevel="0" collapsed="false">
      <c r="A367" s="18"/>
      <c r="B367" s="18"/>
      <c r="C367" s="18"/>
      <c r="D367" s="18"/>
      <c r="E367" s="18"/>
      <c r="F367" s="18"/>
      <c r="G367" s="18"/>
      <c r="H367" s="19"/>
      <c r="I367" s="18"/>
      <c r="J367" s="18"/>
      <c r="K367" s="20"/>
      <c r="L367" s="20"/>
      <c r="M367" s="20"/>
      <c r="N367" s="20"/>
      <c r="O367" s="21"/>
      <c r="P367" s="22" t="n">
        <f aca="false">IF(OR($A367="",N(K367)=0),0,CEILING(K367*(1+IF($O367="",Taux_Compta,$O367))-0.005,Pas_Arrondi))</f>
        <v>0</v>
      </c>
      <c r="Q367" s="22" t="n">
        <f aca="false">IF(OR($A367="",N(L367)=0),0,CEILING(L367*(1+IF($O367="",Taux_Paye,$O367))-0.005,Pas_Arrondi))</f>
        <v>0</v>
      </c>
      <c r="R367" s="22" t="n">
        <f aca="false">IF(OR($A367="",N(M367)=0),0,CEILING(M367*(1+IF($O367="",Taux_Jur,$O367))-0.005,Pas_Arrondi))</f>
        <v>0</v>
      </c>
      <c r="S367" s="22" t="n">
        <f aca="false">IF(OR($A367="",N(N367)=0),0,CEILING(N367*(1+IF($O367="",Taux_PA,$O367))-0.005,Pas_Arrondi))</f>
        <v>0</v>
      </c>
      <c r="T367" s="22" t="str">
        <f aca="false">IF($A367="","",SUM(K367:N367))</f>
        <v/>
      </c>
      <c r="U367" s="22" t="str">
        <f aca="false">IF($A367="","",SUM(P367:S367))</f>
        <v/>
      </c>
      <c r="V367" s="22" t="str">
        <f aca="false">IF($A367="","",U367-T367)</f>
        <v/>
      </c>
      <c r="W367" s="23" t="str">
        <f aca="false">IF(OR($A367="",N(T367)=0),"",V367/T367)</f>
        <v/>
      </c>
      <c r="X367" s="18"/>
      <c r="Y367" s="18"/>
    </row>
    <row r="368" customFormat="false" ht="15" hidden="false" customHeight="false" outlineLevel="0" collapsed="false">
      <c r="A368" s="18"/>
      <c r="B368" s="18"/>
      <c r="C368" s="18"/>
      <c r="D368" s="18"/>
      <c r="E368" s="18"/>
      <c r="F368" s="18"/>
      <c r="G368" s="18"/>
      <c r="H368" s="19"/>
      <c r="I368" s="18"/>
      <c r="J368" s="18"/>
      <c r="K368" s="20"/>
      <c r="L368" s="20"/>
      <c r="M368" s="20"/>
      <c r="N368" s="20"/>
      <c r="O368" s="21"/>
      <c r="P368" s="22" t="n">
        <f aca="false">IF(OR($A368="",N(K368)=0),0,CEILING(K368*(1+IF($O368="",Taux_Compta,$O368))-0.005,Pas_Arrondi))</f>
        <v>0</v>
      </c>
      <c r="Q368" s="22" t="n">
        <f aca="false">IF(OR($A368="",N(L368)=0),0,CEILING(L368*(1+IF($O368="",Taux_Paye,$O368))-0.005,Pas_Arrondi))</f>
        <v>0</v>
      </c>
      <c r="R368" s="22" t="n">
        <f aca="false">IF(OR($A368="",N(M368)=0),0,CEILING(M368*(1+IF($O368="",Taux_Jur,$O368))-0.005,Pas_Arrondi))</f>
        <v>0</v>
      </c>
      <c r="S368" s="22" t="n">
        <f aca="false">IF(OR($A368="",N(N368)=0),0,CEILING(N368*(1+IF($O368="",Taux_PA,$O368))-0.005,Pas_Arrondi))</f>
        <v>0</v>
      </c>
      <c r="T368" s="22" t="str">
        <f aca="false">IF($A368="","",SUM(K368:N368))</f>
        <v/>
      </c>
      <c r="U368" s="22" t="str">
        <f aca="false">IF($A368="","",SUM(P368:S368))</f>
        <v/>
      </c>
      <c r="V368" s="22" t="str">
        <f aca="false">IF($A368="","",U368-T368)</f>
        <v/>
      </c>
      <c r="W368" s="23" t="str">
        <f aca="false">IF(OR($A368="",N(T368)=0),"",V368/T368)</f>
        <v/>
      </c>
      <c r="X368" s="18"/>
      <c r="Y368" s="18"/>
    </row>
    <row r="369" customFormat="false" ht="15" hidden="false" customHeight="false" outlineLevel="0" collapsed="false">
      <c r="A369" s="18"/>
      <c r="B369" s="18"/>
      <c r="C369" s="18"/>
      <c r="D369" s="18"/>
      <c r="E369" s="18"/>
      <c r="F369" s="18"/>
      <c r="G369" s="18"/>
      <c r="H369" s="19"/>
      <c r="I369" s="18"/>
      <c r="J369" s="18"/>
      <c r="K369" s="20"/>
      <c r="L369" s="20"/>
      <c r="M369" s="20"/>
      <c r="N369" s="20"/>
      <c r="O369" s="21"/>
      <c r="P369" s="22" t="n">
        <f aca="false">IF(OR($A369="",N(K369)=0),0,CEILING(K369*(1+IF($O369="",Taux_Compta,$O369))-0.005,Pas_Arrondi))</f>
        <v>0</v>
      </c>
      <c r="Q369" s="22" t="n">
        <f aca="false">IF(OR($A369="",N(L369)=0),0,CEILING(L369*(1+IF($O369="",Taux_Paye,$O369))-0.005,Pas_Arrondi))</f>
        <v>0</v>
      </c>
      <c r="R369" s="22" t="n">
        <f aca="false">IF(OR($A369="",N(M369)=0),0,CEILING(M369*(1+IF($O369="",Taux_Jur,$O369))-0.005,Pas_Arrondi))</f>
        <v>0</v>
      </c>
      <c r="S369" s="22" t="n">
        <f aca="false">IF(OR($A369="",N(N369)=0),0,CEILING(N369*(1+IF($O369="",Taux_PA,$O369))-0.005,Pas_Arrondi))</f>
        <v>0</v>
      </c>
      <c r="T369" s="22" t="str">
        <f aca="false">IF($A369="","",SUM(K369:N369))</f>
        <v/>
      </c>
      <c r="U369" s="22" t="str">
        <f aca="false">IF($A369="","",SUM(P369:S369))</f>
        <v/>
      </c>
      <c r="V369" s="22" t="str">
        <f aca="false">IF($A369="","",U369-T369)</f>
        <v/>
      </c>
      <c r="W369" s="23" t="str">
        <f aca="false">IF(OR($A369="",N(T369)=0),"",V369/T369)</f>
        <v/>
      </c>
      <c r="X369" s="18"/>
      <c r="Y369" s="18"/>
    </row>
    <row r="370" customFormat="false" ht="15" hidden="false" customHeight="false" outlineLevel="0" collapsed="false">
      <c r="A370" s="18"/>
      <c r="B370" s="18"/>
      <c r="C370" s="18"/>
      <c r="D370" s="18"/>
      <c r="E370" s="18"/>
      <c r="F370" s="18"/>
      <c r="G370" s="18"/>
      <c r="H370" s="19"/>
      <c r="I370" s="18"/>
      <c r="J370" s="18"/>
      <c r="K370" s="20"/>
      <c r="L370" s="20"/>
      <c r="M370" s="20"/>
      <c r="N370" s="20"/>
      <c r="O370" s="21"/>
      <c r="P370" s="22" t="n">
        <f aca="false">IF(OR($A370="",N(K370)=0),0,CEILING(K370*(1+IF($O370="",Taux_Compta,$O370))-0.005,Pas_Arrondi))</f>
        <v>0</v>
      </c>
      <c r="Q370" s="22" t="n">
        <f aca="false">IF(OR($A370="",N(L370)=0),0,CEILING(L370*(1+IF($O370="",Taux_Paye,$O370))-0.005,Pas_Arrondi))</f>
        <v>0</v>
      </c>
      <c r="R370" s="22" t="n">
        <f aca="false">IF(OR($A370="",N(M370)=0),0,CEILING(M370*(1+IF($O370="",Taux_Jur,$O370))-0.005,Pas_Arrondi))</f>
        <v>0</v>
      </c>
      <c r="S370" s="22" t="n">
        <f aca="false">IF(OR($A370="",N(N370)=0),0,CEILING(N370*(1+IF($O370="",Taux_PA,$O370))-0.005,Pas_Arrondi))</f>
        <v>0</v>
      </c>
      <c r="T370" s="22" t="str">
        <f aca="false">IF($A370="","",SUM(K370:N370))</f>
        <v/>
      </c>
      <c r="U370" s="22" t="str">
        <f aca="false">IF($A370="","",SUM(P370:S370))</f>
        <v/>
      </c>
      <c r="V370" s="22" t="str">
        <f aca="false">IF($A370="","",U370-T370)</f>
        <v/>
      </c>
      <c r="W370" s="23" t="str">
        <f aca="false">IF(OR($A370="",N(T370)=0),"",V370/T370)</f>
        <v/>
      </c>
      <c r="X370" s="18"/>
      <c r="Y370" s="18"/>
    </row>
    <row r="371" customFormat="false" ht="15" hidden="false" customHeight="false" outlineLevel="0" collapsed="false">
      <c r="A371" s="18"/>
      <c r="B371" s="18"/>
      <c r="C371" s="18"/>
      <c r="D371" s="18"/>
      <c r="E371" s="18"/>
      <c r="F371" s="18"/>
      <c r="G371" s="18"/>
      <c r="H371" s="19"/>
      <c r="I371" s="18"/>
      <c r="J371" s="18"/>
      <c r="K371" s="20"/>
      <c r="L371" s="20"/>
      <c r="M371" s="20"/>
      <c r="N371" s="20"/>
      <c r="O371" s="21"/>
      <c r="P371" s="22" t="n">
        <f aca="false">IF(OR($A371="",N(K371)=0),0,CEILING(K371*(1+IF($O371="",Taux_Compta,$O371))-0.005,Pas_Arrondi))</f>
        <v>0</v>
      </c>
      <c r="Q371" s="22" t="n">
        <f aca="false">IF(OR($A371="",N(L371)=0),0,CEILING(L371*(1+IF($O371="",Taux_Paye,$O371))-0.005,Pas_Arrondi))</f>
        <v>0</v>
      </c>
      <c r="R371" s="22" t="n">
        <f aca="false">IF(OR($A371="",N(M371)=0),0,CEILING(M371*(1+IF($O371="",Taux_Jur,$O371))-0.005,Pas_Arrondi))</f>
        <v>0</v>
      </c>
      <c r="S371" s="22" t="n">
        <f aca="false">IF(OR($A371="",N(N371)=0),0,CEILING(N371*(1+IF($O371="",Taux_PA,$O371))-0.005,Pas_Arrondi))</f>
        <v>0</v>
      </c>
      <c r="T371" s="22" t="str">
        <f aca="false">IF($A371="","",SUM(K371:N371))</f>
        <v/>
      </c>
      <c r="U371" s="22" t="str">
        <f aca="false">IF($A371="","",SUM(P371:S371))</f>
        <v/>
      </c>
      <c r="V371" s="22" t="str">
        <f aca="false">IF($A371="","",U371-T371)</f>
        <v/>
      </c>
      <c r="W371" s="23" t="str">
        <f aca="false">IF(OR($A371="",N(T371)=0),"",V371/T371)</f>
        <v/>
      </c>
      <c r="X371" s="18"/>
      <c r="Y371" s="18"/>
    </row>
    <row r="372" customFormat="false" ht="15" hidden="false" customHeight="false" outlineLevel="0" collapsed="false">
      <c r="A372" s="18"/>
      <c r="B372" s="18"/>
      <c r="C372" s="18"/>
      <c r="D372" s="18"/>
      <c r="E372" s="18"/>
      <c r="F372" s="18"/>
      <c r="G372" s="18"/>
      <c r="H372" s="19"/>
      <c r="I372" s="18"/>
      <c r="J372" s="18"/>
      <c r="K372" s="20"/>
      <c r="L372" s="20"/>
      <c r="M372" s="20"/>
      <c r="N372" s="20"/>
      <c r="O372" s="21"/>
      <c r="P372" s="22" t="n">
        <f aca="false">IF(OR($A372="",N(K372)=0),0,CEILING(K372*(1+IF($O372="",Taux_Compta,$O372))-0.005,Pas_Arrondi))</f>
        <v>0</v>
      </c>
      <c r="Q372" s="22" t="n">
        <f aca="false">IF(OR($A372="",N(L372)=0),0,CEILING(L372*(1+IF($O372="",Taux_Paye,$O372))-0.005,Pas_Arrondi))</f>
        <v>0</v>
      </c>
      <c r="R372" s="22" t="n">
        <f aca="false">IF(OR($A372="",N(M372)=0),0,CEILING(M372*(1+IF($O372="",Taux_Jur,$O372))-0.005,Pas_Arrondi))</f>
        <v>0</v>
      </c>
      <c r="S372" s="22" t="n">
        <f aca="false">IF(OR($A372="",N(N372)=0),0,CEILING(N372*(1+IF($O372="",Taux_PA,$O372))-0.005,Pas_Arrondi))</f>
        <v>0</v>
      </c>
      <c r="T372" s="22" t="str">
        <f aca="false">IF($A372="","",SUM(K372:N372))</f>
        <v/>
      </c>
      <c r="U372" s="22" t="str">
        <f aca="false">IF($A372="","",SUM(P372:S372))</f>
        <v/>
      </c>
      <c r="V372" s="22" t="str">
        <f aca="false">IF($A372="","",U372-T372)</f>
        <v/>
      </c>
      <c r="W372" s="23" t="str">
        <f aca="false">IF(OR($A372="",N(T372)=0),"",V372/T372)</f>
        <v/>
      </c>
      <c r="X372" s="18"/>
      <c r="Y372" s="18"/>
    </row>
    <row r="373" customFormat="false" ht="15" hidden="false" customHeight="false" outlineLevel="0" collapsed="false">
      <c r="A373" s="18"/>
      <c r="B373" s="18"/>
      <c r="C373" s="18"/>
      <c r="D373" s="18"/>
      <c r="E373" s="18"/>
      <c r="F373" s="18"/>
      <c r="G373" s="18"/>
      <c r="H373" s="19"/>
      <c r="I373" s="18"/>
      <c r="J373" s="18"/>
      <c r="K373" s="20"/>
      <c r="L373" s="20"/>
      <c r="M373" s="20"/>
      <c r="N373" s="20"/>
      <c r="O373" s="21"/>
      <c r="P373" s="22" t="n">
        <f aca="false">IF(OR($A373="",N(K373)=0),0,CEILING(K373*(1+IF($O373="",Taux_Compta,$O373))-0.005,Pas_Arrondi))</f>
        <v>0</v>
      </c>
      <c r="Q373" s="22" t="n">
        <f aca="false">IF(OR($A373="",N(L373)=0),0,CEILING(L373*(1+IF($O373="",Taux_Paye,$O373))-0.005,Pas_Arrondi))</f>
        <v>0</v>
      </c>
      <c r="R373" s="22" t="n">
        <f aca="false">IF(OR($A373="",N(M373)=0),0,CEILING(M373*(1+IF($O373="",Taux_Jur,$O373))-0.005,Pas_Arrondi))</f>
        <v>0</v>
      </c>
      <c r="S373" s="22" t="n">
        <f aca="false">IF(OR($A373="",N(N373)=0),0,CEILING(N373*(1+IF($O373="",Taux_PA,$O373))-0.005,Pas_Arrondi))</f>
        <v>0</v>
      </c>
      <c r="T373" s="22" t="str">
        <f aca="false">IF($A373="","",SUM(K373:N373))</f>
        <v/>
      </c>
      <c r="U373" s="22" t="str">
        <f aca="false">IF($A373="","",SUM(P373:S373))</f>
        <v/>
      </c>
      <c r="V373" s="22" t="str">
        <f aca="false">IF($A373="","",U373-T373)</f>
        <v/>
      </c>
      <c r="W373" s="23" t="str">
        <f aca="false">IF(OR($A373="",N(T373)=0),"",V373/T373)</f>
        <v/>
      </c>
      <c r="X373" s="18"/>
      <c r="Y373" s="18"/>
    </row>
    <row r="374" customFormat="false" ht="15" hidden="false" customHeight="false" outlineLevel="0" collapsed="false">
      <c r="A374" s="18"/>
      <c r="B374" s="18"/>
      <c r="C374" s="18"/>
      <c r="D374" s="18"/>
      <c r="E374" s="18"/>
      <c r="F374" s="18"/>
      <c r="G374" s="18"/>
      <c r="H374" s="19"/>
      <c r="I374" s="18"/>
      <c r="J374" s="18"/>
      <c r="K374" s="20"/>
      <c r="L374" s="20"/>
      <c r="M374" s="20"/>
      <c r="N374" s="20"/>
      <c r="O374" s="21"/>
      <c r="P374" s="22" t="n">
        <f aca="false">IF(OR($A374="",N(K374)=0),0,CEILING(K374*(1+IF($O374="",Taux_Compta,$O374))-0.005,Pas_Arrondi))</f>
        <v>0</v>
      </c>
      <c r="Q374" s="22" t="n">
        <f aca="false">IF(OR($A374="",N(L374)=0),0,CEILING(L374*(1+IF($O374="",Taux_Paye,$O374))-0.005,Pas_Arrondi))</f>
        <v>0</v>
      </c>
      <c r="R374" s="22" t="n">
        <f aca="false">IF(OR($A374="",N(M374)=0),0,CEILING(M374*(1+IF($O374="",Taux_Jur,$O374))-0.005,Pas_Arrondi))</f>
        <v>0</v>
      </c>
      <c r="S374" s="22" t="n">
        <f aca="false">IF(OR($A374="",N(N374)=0),0,CEILING(N374*(1+IF($O374="",Taux_PA,$O374))-0.005,Pas_Arrondi))</f>
        <v>0</v>
      </c>
      <c r="T374" s="22" t="str">
        <f aca="false">IF($A374="","",SUM(K374:N374))</f>
        <v/>
      </c>
      <c r="U374" s="22" t="str">
        <f aca="false">IF($A374="","",SUM(P374:S374))</f>
        <v/>
      </c>
      <c r="V374" s="22" t="str">
        <f aca="false">IF($A374="","",U374-T374)</f>
        <v/>
      </c>
      <c r="W374" s="23" t="str">
        <f aca="false">IF(OR($A374="",N(T374)=0),"",V374/T374)</f>
        <v/>
      </c>
      <c r="X374" s="18"/>
      <c r="Y374" s="18"/>
    </row>
    <row r="375" customFormat="false" ht="15" hidden="false" customHeight="false" outlineLevel="0" collapsed="false">
      <c r="A375" s="18"/>
      <c r="B375" s="18"/>
      <c r="C375" s="18"/>
      <c r="D375" s="18"/>
      <c r="E375" s="18"/>
      <c r="F375" s="18"/>
      <c r="G375" s="18"/>
      <c r="H375" s="19"/>
      <c r="I375" s="18"/>
      <c r="J375" s="18"/>
      <c r="K375" s="20"/>
      <c r="L375" s="20"/>
      <c r="M375" s="20"/>
      <c r="N375" s="20"/>
      <c r="O375" s="21"/>
      <c r="P375" s="22" t="n">
        <f aca="false">IF(OR($A375="",N(K375)=0),0,CEILING(K375*(1+IF($O375="",Taux_Compta,$O375))-0.005,Pas_Arrondi))</f>
        <v>0</v>
      </c>
      <c r="Q375" s="22" t="n">
        <f aca="false">IF(OR($A375="",N(L375)=0),0,CEILING(L375*(1+IF($O375="",Taux_Paye,$O375))-0.005,Pas_Arrondi))</f>
        <v>0</v>
      </c>
      <c r="R375" s="22" t="n">
        <f aca="false">IF(OR($A375="",N(M375)=0),0,CEILING(M375*(1+IF($O375="",Taux_Jur,$O375))-0.005,Pas_Arrondi))</f>
        <v>0</v>
      </c>
      <c r="S375" s="22" t="n">
        <f aca="false">IF(OR($A375="",N(N375)=0),0,CEILING(N375*(1+IF($O375="",Taux_PA,$O375))-0.005,Pas_Arrondi))</f>
        <v>0</v>
      </c>
      <c r="T375" s="22" t="str">
        <f aca="false">IF($A375="","",SUM(K375:N375))</f>
        <v/>
      </c>
      <c r="U375" s="22" t="str">
        <f aca="false">IF($A375="","",SUM(P375:S375))</f>
        <v/>
      </c>
      <c r="V375" s="22" t="str">
        <f aca="false">IF($A375="","",U375-T375)</f>
        <v/>
      </c>
      <c r="W375" s="23" t="str">
        <f aca="false">IF(OR($A375="",N(T375)=0),"",V375/T375)</f>
        <v/>
      </c>
      <c r="X375" s="18"/>
      <c r="Y375" s="18"/>
    </row>
    <row r="376" customFormat="false" ht="15" hidden="false" customHeight="false" outlineLevel="0" collapsed="false">
      <c r="A376" s="18"/>
      <c r="B376" s="18"/>
      <c r="C376" s="18"/>
      <c r="D376" s="18"/>
      <c r="E376" s="18"/>
      <c r="F376" s="18"/>
      <c r="G376" s="18"/>
      <c r="H376" s="19"/>
      <c r="I376" s="18"/>
      <c r="J376" s="18"/>
      <c r="K376" s="20"/>
      <c r="L376" s="20"/>
      <c r="M376" s="20"/>
      <c r="N376" s="20"/>
      <c r="O376" s="21"/>
      <c r="P376" s="22" t="n">
        <f aca="false">IF(OR($A376="",N(K376)=0),0,CEILING(K376*(1+IF($O376="",Taux_Compta,$O376))-0.005,Pas_Arrondi))</f>
        <v>0</v>
      </c>
      <c r="Q376" s="22" t="n">
        <f aca="false">IF(OR($A376="",N(L376)=0),0,CEILING(L376*(1+IF($O376="",Taux_Paye,$O376))-0.005,Pas_Arrondi))</f>
        <v>0</v>
      </c>
      <c r="R376" s="22" t="n">
        <f aca="false">IF(OR($A376="",N(M376)=0),0,CEILING(M376*(1+IF($O376="",Taux_Jur,$O376))-0.005,Pas_Arrondi))</f>
        <v>0</v>
      </c>
      <c r="S376" s="22" t="n">
        <f aca="false">IF(OR($A376="",N(N376)=0),0,CEILING(N376*(1+IF($O376="",Taux_PA,$O376))-0.005,Pas_Arrondi))</f>
        <v>0</v>
      </c>
      <c r="T376" s="22" t="str">
        <f aca="false">IF($A376="","",SUM(K376:N376))</f>
        <v/>
      </c>
      <c r="U376" s="22" t="str">
        <f aca="false">IF($A376="","",SUM(P376:S376))</f>
        <v/>
      </c>
      <c r="V376" s="22" t="str">
        <f aca="false">IF($A376="","",U376-T376)</f>
        <v/>
      </c>
      <c r="W376" s="23" t="str">
        <f aca="false">IF(OR($A376="",N(T376)=0),"",V376/T376)</f>
        <v/>
      </c>
      <c r="X376" s="18"/>
      <c r="Y376" s="18"/>
    </row>
    <row r="377" customFormat="false" ht="15" hidden="false" customHeight="false" outlineLevel="0" collapsed="false">
      <c r="A377" s="18"/>
      <c r="B377" s="18"/>
      <c r="C377" s="18"/>
      <c r="D377" s="18"/>
      <c r="E377" s="18"/>
      <c r="F377" s="18"/>
      <c r="G377" s="18"/>
      <c r="H377" s="19"/>
      <c r="I377" s="18"/>
      <c r="J377" s="18"/>
      <c r="K377" s="20"/>
      <c r="L377" s="20"/>
      <c r="M377" s="20"/>
      <c r="N377" s="20"/>
      <c r="O377" s="21"/>
      <c r="P377" s="22" t="n">
        <f aca="false">IF(OR($A377="",N(K377)=0),0,CEILING(K377*(1+IF($O377="",Taux_Compta,$O377))-0.005,Pas_Arrondi))</f>
        <v>0</v>
      </c>
      <c r="Q377" s="22" t="n">
        <f aca="false">IF(OR($A377="",N(L377)=0),0,CEILING(L377*(1+IF($O377="",Taux_Paye,$O377))-0.005,Pas_Arrondi))</f>
        <v>0</v>
      </c>
      <c r="R377" s="22" t="n">
        <f aca="false">IF(OR($A377="",N(M377)=0),0,CEILING(M377*(1+IF($O377="",Taux_Jur,$O377))-0.005,Pas_Arrondi))</f>
        <v>0</v>
      </c>
      <c r="S377" s="22" t="n">
        <f aca="false">IF(OR($A377="",N(N377)=0),0,CEILING(N377*(1+IF($O377="",Taux_PA,$O377))-0.005,Pas_Arrondi))</f>
        <v>0</v>
      </c>
      <c r="T377" s="22" t="str">
        <f aca="false">IF($A377="","",SUM(K377:N377))</f>
        <v/>
      </c>
      <c r="U377" s="22" t="str">
        <f aca="false">IF($A377="","",SUM(P377:S377))</f>
        <v/>
      </c>
      <c r="V377" s="22" t="str">
        <f aca="false">IF($A377="","",U377-T377)</f>
        <v/>
      </c>
      <c r="W377" s="23" t="str">
        <f aca="false">IF(OR($A377="",N(T377)=0),"",V377/T377)</f>
        <v/>
      </c>
      <c r="X377" s="18"/>
      <c r="Y377" s="18"/>
    </row>
    <row r="378" customFormat="false" ht="15" hidden="false" customHeight="false" outlineLevel="0" collapsed="false">
      <c r="A378" s="18"/>
      <c r="B378" s="18"/>
      <c r="C378" s="18"/>
      <c r="D378" s="18"/>
      <c r="E378" s="18"/>
      <c r="F378" s="18"/>
      <c r="G378" s="18"/>
      <c r="H378" s="19"/>
      <c r="I378" s="18"/>
      <c r="J378" s="18"/>
      <c r="K378" s="20"/>
      <c r="L378" s="20"/>
      <c r="M378" s="20"/>
      <c r="N378" s="20"/>
      <c r="O378" s="21"/>
      <c r="P378" s="22" t="n">
        <f aca="false">IF(OR($A378="",N(K378)=0),0,CEILING(K378*(1+IF($O378="",Taux_Compta,$O378))-0.005,Pas_Arrondi))</f>
        <v>0</v>
      </c>
      <c r="Q378" s="22" t="n">
        <f aca="false">IF(OR($A378="",N(L378)=0),0,CEILING(L378*(1+IF($O378="",Taux_Paye,$O378))-0.005,Pas_Arrondi))</f>
        <v>0</v>
      </c>
      <c r="R378" s="22" t="n">
        <f aca="false">IF(OR($A378="",N(M378)=0),0,CEILING(M378*(1+IF($O378="",Taux_Jur,$O378))-0.005,Pas_Arrondi))</f>
        <v>0</v>
      </c>
      <c r="S378" s="22" t="n">
        <f aca="false">IF(OR($A378="",N(N378)=0),0,CEILING(N378*(1+IF($O378="",Taux_PA,$O378))-0.005,Pas_Arrondi))</f>
        <v>0</v>
      </c>
      <c r="T378" s="22" t="str">
        <f aca="false">IF($A378="","",SUM(K378:N378))</f>
        <v/>
      </c>
      <c r="U378" s="22" t="str">
        <f aca="false">IF($A378="","",SUM(P378:S378))</f>
        <v/>
      </c>
      <c r="V378" s="22" t="str">
        <f aca="false">IF($A378="","",U378-T378)</f>
        <v/>
      </c>
      <c r="W378" s="23" t="str">
        <f aca="false">IF(OR($A378="",N(T378)=0),"",V378/T378)</f>
        <v/>
      </c>
      <c r="X378" s="18"/>
      <c r="Y378" s="18"/>
    </row>
    <row r="379" customFormat="false" ht="15" hidden="false" customHeight="false" outlineLevel="0" collapsed="false">
      <c r="A379" s="18"/>
      <c r="B379" s="18"/>
      <c r="C379" s="18"/>
      <c r="D379" s="18"/>
      <c r="E379" s="18"/>
      <c r="F379" s="18"/>
      <c r="G379" s="18"/>
      <c r="H379" s="19"/>
      <c r="I379" s="18"/>
      <c r="J379" s="18"/>
      <c r="K379" s="20"/>
      <c r="L379" s="20"/>
      <c r="M379" s="20"/>
      <c r="N379" s="20"/>
      <c r="O379" s="21"/>
      <c r="P379" s="22" t="n">
        <f aca="false">IF(OR($A379="",N(K379)=0),0,CEILING(K379*(1+IF($O379="",Taux_Compta,$O379))-0.005,Pas_Arrondi))</f>
        <v>0</v>
      </c>
      <c r="Q379" s="22" t="n">
        <f aca="false">IF(OR($A379="",N(L379)=0),0,CEILING(L379*(1+IF($O379="",Taux_Paye,$O379))-0.005,Pas_Arrondi))</f>
        <v>0</v>
      </c>
      <c r="R379" s="22" t="n">
        <f aca="false">IF(OR($A379="",N(M379)=0),0,CEILING(M379*(1+IF($O379="",Taux_Jur,$O379))-0.005,Pas_Arrondi))</f>
        <v>0</v>
      </c>
      <c r="S379" s="22" t="n">
        <f aca="false">IF(OR($A379="",N(N379)=0),0,CEILING(N379*(1+IF($O379="",Taux_PA,$O379))-0.005,Pas_Arrondi))</f>
        <v>0</v>
      </c>
      <c r="T379" s="22" t="str">
        <f aca="false">IF($A379="","",SUM(K379:N379))</f>
        <v/>
      </c>
      <c r="U379" s="22" t="str">
        <f aca="false">IF($A379="","",SUM(P379:S379))</f>
        <v/>
      </c>
      <c r="V379" s="22" t="str">
        <f aca="false">IF($A379="","",U379-T379)</f>
        <v/>
      </c>
      <c r="W379" s="23" t="str">
        <f aca="false">IF(OR($A379="",N(T379)=0),"",V379/T379)</f>
        <v/>
      </c>
      <c r="X379" s="18"/>
      <c r="Y379" s="18"/>
    </row>
    <row r="380" customFormat="false" ht="15" hidden="false" customHeight="false" outlineLevel="0" collapsed="false">
      <c r="A380" s="18"/>
      <c r="B380" s="18"/>
      <c r="C380" s="18"/>
      <c r="D380" s="18"/>
      <c r="E380" s="18"/>
      <c r="F380" s="18"/>
      <c r="G380" s="18"/>
      <c r="H380" s="19"/>
      <c r="I380" s="18"/>
      <c r="J380" s="18"/>
      <c r="K380" s="20"/>
      <c r="L380" s="20"/>
      <c r="M380" s="20"/>
      <c r="N380" s="20"/>
      <c r="O380" s="21"/>
      <c r="P380" s="22" t="n">
        <f aca="false">IF(OR($A380="",N(K380)=0),0,CEILING(K380*(1+IF($O380="",Taux_Compta,$O380))-0.005,Pas_Arrondi))</f>
        <v>0</v>
      </c>
      <c r="Q380" s="22" t="n">
        <f aca="false">IF(OR($A380="",N(L380)=0),0,CEILING(L380*(1+IF($O380="",Taux_Paye,$O380))-0.005,Pas_Arrondi))</f>
        <v>0</v>
      </c>
      <c r="R380" s="22" t="n">
        <f aca="false">IF(OR($A380="",N(M380)=0),0,CEILING(M380*(1+IF($O380="",Taux_Jur,$O380))-0.005,Pas_Arrondi))</f>
        <v>0</v>
      </c>
      <c r="S380" s="22" t="n">
        <f aca="false">IF(OR($A380="",N(N380)=0),0,CEILING(N380*(1+IF($O380="",Taux_PA,$O380))-0.005,Pas_Arrondi))</f>
        <v>0</v>
      </c>
      <c r="T380" s="22" t="str">
        <f aca="false">IF($A380="","",SUM(K380:N380))</f>
        <v/>
      </c>
      <c r="U380" s="22" t="str">
        <f aca="false">IF($A380="","",SUM(P380:S380))</f>
        <v/>
      </c>
      <c r="V380" s="22" t="str">
        <f aca="false">IF($A380="","",U380-T380)</f>
        <v/>
      </c>
      <c r="W380" s="23" t="str">
        <f aca="false">IF(OR($A380="",N(T380)=0),"",V380/T380)</f>
        <v/>
      </c>
      <c r="X380" s="18"/>
      <c r="Y380" s="18"/>
    </row>
    <row r="381" customFormat="false" ht="15" hidden="false" customHeight="false" outlineLevel="0" collapsed="false">
      <c r="A381" s="18"/>
      <c r="B381" s="18"/>
      <c r="C381" s="18"/>
      <c r="D381" s="18"/>
      <c r="E381" s="18"/>
      <c r="F381" s="18"/>
      <c r="G381" s="18"/>
      <c r="H381" s="19"/>
      <c r="I381" s="18"/>
      <c r="J381" s="18"/>
      <c r="K381" s="20"/>
      <c r="L381" s="20"/>
      <c r="M381" s="20"/>
      <c r="N381" s="20"/>
      <c r="O381" s="21"/>
      <c r="P381" s="22" t="n">
        <f aca="false">IF(OR($A381="",N(K381)=0),0,CEILING(K381*(1+IF($O381="",Taux_Compta,$O381))-0.005,Pas_Arrondi))</f>
        <v>0</v>
      </c>
      <c r="Q381" s="22" t="n">
        <f aca="false">IF(OR($A381="",N(L381)=0),0,CEILING(L381*(1+IF($O381="",Taux_Paye,$O381))-0.005,Pas_Arrondi))</f>
        <v>0</v>
      </c>
      <c r="R381" s="22" t="n">
        <f aca="false">IF(OR($A381="",N(M381)=0),0,CEILING(M381*(1+IF($O381="",Taux_Jur,$O381))-0.005,Pas_Arrondi))</f>
        <v>0</v>
      </c>
      <c r="S381" s="22" t="n">
        <f aca="false">IF(OR($A381="",N(N381)=0),0,CEILING(N381*(1+IF($O381="",Taux_PA,$O381))-0.005,Pas_Arrondi))</f>
        <v>0</v>
      </c>
      <c r="T381" s="22" t="str">
        <f aca="false">IF($A381="","",SUM(K381:N381))</f>
        <v/>
      </c>
      <c r="U381" s="22" t="str">
        <f aca="false">IF($A381="","",SUM(P381:S381))</f>
        <v/>
      </c>
      <c r="V381" s="22" t="str">
        <f aca="false">IF($A381="","",U381-T381)</f>
        <v/>
      </c>
      <c r="W381" s="23" t="str">
        <f aca="false">IF(OR($A381="",N(T381)=0),"",V381/T381)</f>
        <v/>
      </c>
      <c r="X381" s="18"/>
      <c r="Y381" s="18"/>
    </row>
    <row r="382" customFormat="false" ht="15" hidden="false" customHeight="false" outlineLevel="0" collapsed="false">
      <c r="A382" s="18"/>
      <c r="B382" s="18"/>
      <c r="C382" s="18"/>
      <c r="D382" s="18"/>
      <c r="E382" s="18"/>
      <c r="F382" s="18"/>
      <c r="G382" s="18"/>
      <c r="H382" s="19"/>
      <c r="I382" s="18"/>
      <c r="J382" s="18"/>
      <c r="K382" s="20"/>
      <c r="L382" s="20"/>
      <c r="M382" s="20"/>
      <c r="N382" s="20"/>
      <c r="O382" s="21"/>
      <c r="P382" s="22" t="n">
        <f aca="false">IF(OR($A382="",N(K382)=0),0,CEILING(K382*(1+IF($O382="",Taux_Compta,$O382))-0.005,Pas_Arrondi))</f>
        <v>0</v>
      </c>
      <c r="Q382" s="22" t="n">
        <f aca="false">IF(OR($A382="",N(L382)=0),0,CEILING(L382*(1+IF($O382="",Taux_Paye,$O382))-0.005,Pas_Arrondi))</f>
        <v>0</v>
      </c>
      <c r="R382" s="22" t="n">
        <f aca="false">IF(OR($A382="",N(M382)=0),0,CEILING(M382*(1+IF($O382="",Taux_Jur,$O382))-0.005,Pas_Arrondi))</f>
        <v>0</v>
      </c>
      <c r="S382" s="22" t="n">
        <f aca="false">IF(OR($A382="",N(N382)=0),0,CEILING(N382*(1+IF($O382="",Taux_PA,$O382))-0.005,Pas_Arrondi))</f>
        <v>0</v>
      </c>
      <c r="T382" s="22" t="str">
        <f aca="false">IF($A382="","",SUM(K382:N382))</f>
        <v/>
      </c>
      <c r="U382" s="22" t="str">
        <f aca="false">IF($A382="","",SUM(P382:S382))</f>
        <v/>
      </c>
      <c r="V382" s="22" t="str">
        <f aca="false">IF($A382="","",U382-T382)</f>
        <v/>
      </c>
      <c r="W382" s="23" t="str">
        <f aca="false">IF(OR($A382="",N(T382)=0),"",V382/T382)</f>
        <v/>
      </c>
      <c r="X382" s="18"/>
      <c r="Y382" s="18"/>
    </row>
    <row r="383" customFormat="false" ht="15" hidden="false" customHeight="false" outlineLevel="0" collapsed="false">
      <c r="A383" s="18"/>
      <c r="B383" s="18"/>
      <c r="C383" s="18"/>
      <c r="D383" s="18"/>
      <c r="E383" s="18"/>
      <c r="F383" s="18"/>
      <c r="G383" s="18"/>
      <c r="H383" s="19"/>
      <c r="I383" s="18"/>
      <c r="J383" s="18"/>
      <c r="K383" s="20"/>
      <c r="L383" s="20"/>
      <c r="M383" s="20"/>
      <c r="N383" s="20"/>
      <c r="O383" s="21"/>
      <c r="P383" s="22" t="n">
        <f aca="false">IF(OR($A383="",N(K383)=0),0,CEILING(K383*(1+IF($O383="",Taux_Compta,$O383))-0.005,Pas_Arrondi))</f>
        <v>0</v>
      </c>
      <c r="Q383" s="22" t="n">
        <f aca="false">IF(OR($A383="",N(L383)=0),0,CEILING(L383*(1+IF($O383="",Taux_Paye,$O383))-0.005,Pas_Arrondi))</f>
        <v>0</v>
      </c>
      <c r="R383" s="22" t="n">
        <f aca="false">IF(OR($A383="",N(M383)=0),0,CEILING(M383*(1+IF($O383="",Taux_Jur,$O383))-0.005,Pas_Arrondi))</f>
        <v>0</v>
      </c>
      <c r="S383" s="22" t="n">
        <f aca="false">IF(OR($A383="",N(N383)=0),0,CEILING(N383*(1+IF($O383="",Taux_PA,$O383))-0.005,Pas_Arrondi))</f>
        <v>0</v>
      </c>
      <c r="T383" s="22" t="str">
        <f aca="false">IF($A383="","",SUM(K383:N383))</f>
        <v/>
      </c>
      <c r="U383" s="22" t="str">
        <f aca="false">IF($A383="","",SUM(P383:S383))</f>
        <v/>
      </c>
      <c r="V383" s="22" t="str">
        <f aca="false">IF($A383="","",U383-T383)</f>
        <v/>
      </c>
      <c r="W383" s="23" t="str">
        <f aca="false">IF(OR($A383="",N(T383)=0),"",V383/T383)</f>
        <v/>
      </c>
      <c r="X383" s="18"/>
      <c r="Y383" s="18"/>
    </row>
    <row r="384" customFormat="false" ht="15" hidden="false" customHeight="false" outlineLevel="0" collapsed="false">
      <c r="A384" s="18"/>
      <c r="B384" s="18"/>
      <c r="C384" s="18"/>
      <c r="D384" s="18"/>
      <c r="E384" s="18"/>
      <c r="F384" s="18"/>
      <c r="G384" s="18"/>
      <c r="H384" s="19"/>
      <c r="I384" s="18"/>
      <c r="J384" s="18"/>
      <c r="K384" s="20"/>
      <c r="L384" s="20"/>
      <c r="M384" s="20"/>
      <c r="N384" s="20"/>
      <c r="O384" s="21"/>
      <c r="P384" s="22" t="n">
        <f aca="false">IF(OR($A384="",N(K384)=0),0,CEILING(K384*(1+IF($O384="",Taux_Compta,$O384))-0.005,Pas_Arrondi))</f>
        <v>0</v>
      </c>
      <c r="Q384" s="22" t="n">
        <f aca="false">IF(OR($A384="",N(L384)=0),0,CEILING(L384*(1+IF($O384="",Taux_Paye,$O384))-0.005,Pas_Arrondi))</f>
        <v>0</v>
      </c>
      <c r="R384" s="22" t="n">
        <f aca="false">IF(OR($A384="",N(M384)=0),0,CEILING(M384*(1+IF($O384="",Taux_Jur,$O384))-0.005,Pas_Arrondi))</f>
        <v>0</v>
      </c>
      <c r="S384" s="22" t="n">
        <f aca="false">IF(OR($A384="",N(N384)=0),0,CEILING(N384*(1+IF($O384="",Taux_PA,$O384))-0.005,Pas_Arrondi))</f>
        <v>0</v>
      </c>
      <c r="T384" s="22" t="str">
        <f aca="false">IF($A384="","",SUM(K384:N384))</f>
        <v/>
      </c>
      <c r="U384" s="22" t="str">
        <f aca="false">IF($A384="","",SUM(P384:S384))</f>
        <v/>
      </c>
      <c r="V384" s="22" t="str">
        <f aca="false">IF($A384="","",U384-T384)</f>
        <v/>
      </c>
      <c r="W384" s="23" t="str">
        <f aca="false">IF(OR($A384="",N(T384)=0),"",V384/T384)</f>
        <v/>
      </c>
      <c r="X384" s="18"/>
      <c r="Y384" s="18"/>
    </row>
    <row r="385" customFormat="false" ht="15" hidden="false" customHeight="false" outlineLevel="0" collapsed="false">
      <c r="A385" s="18"/>
      <c r="B385" s="18"/>
      <c r="C385" s="18"/>
      <c r="D385" s="18"/>
      <c r="E385" s="18"/>
      <c r="F385" s="18"/>
      <c r="G385" s="18"/>
      <c r="H385" s="19"/>
      <c r="I385" s="18"/>
      <c r="J385" s="18"/>
      <c r="K385" s="20"/>
      <c r="L385" s="20"/>
      <c r="M385" s="20"/>
      <c r="N385" s="20"/>
      <c r="O385" s="21"/>
      <c r="P385" s="22" t="n">
        <f aca="false">IF(OR($A385="",N(K385)=0),0,CEILING(K385*(1+IF($O385="",Taux_Compta,$O385))-0.005,Pas_Arrondi))</f>
        <v>0</v>
      </c>
      <c r="Q385" s="22" t="n">
        <f aca="false">IF(OR($A385="",N(L385)=0),0,CEILING(L385*(1+IF($O385="",Taux_Paye,$O385))-0.005,Pas_Arrondi))</f>
        <v>0</v>
      </c>
      <c r="R385" s="22" t="n">
        <f aca="false">IF(OR($A385="",N(M385)=0),0,CEILING(M385*(1+IF($O385="",Taux_Jur,$O385))-0.005,Pas_Arrondi))</f>
        <v>0</v>
      </c>
      <c r="S385" s="22" t="n">
        <f aca="false">IF(OR($A385="",N(N385)=0),0,CEILING(N385*(1+IF($O385="",Taux_PA,$O385))-0.005,Pas_Arrondi))</f>
        <v>0</v>
      </c>
      <c r="T385" s="22" t="str">
        <f aca="false">IF($A385="","",SUM(K385:N385))</f>
        <v/>
      </c>
      <c r="U385" s="22" t="str">
        <f aca="false">IF($A385="","",SUM(P385:S385))</f>
        <v/>
      </c>
      <c r="V385" s="22" t="str">
        <f aca="false">IF($A385="","",U385-T385)</f>
        <v/>
      </c>
      <c r="W385" s="23" t="str">
        <f aca="false">IF(OR($A385="",N(T385)=0),"",V385/T385)</f>
        <v/>
      </c>
      <c r="X385" s="18"/>
      <c r="Y385" s="18"/>
    </row>
    <row r="386" customFormat="false" ht="15" hidden="false" customHeight="false" outlineLevel="0" collapsed="false">
      <c r="A386" s="18"/>
      <c r="B386" s="18"/>
      <c r="C386" s="18"/>
      <c r="D386" s="18"/>
      <c r="E386" s="18"/>
      <c r="F386" s="18"/>
      <c r="G386" s="18"/>
      <c r="H386" s="19"/>
      <c r="I386" s="18"/>
      <c r="J386" s="18"/>
      <c r="K386" s="20"/>
      <c r="L386" s="20"/>
      <c r="M386" s="20"/>
      <c r="N386" s="20"/>
      <c r="O386" s="21"/>
      <c r="P386" s="22" t="n">
        <f aca="false">IF(OR($A386="",N(K386)=0),0,CEILING(K386*(1+IF($O386="",Taux_Compta,$O386))-0.005,Pas_Arrondi))</f>
        <v>0</v>
      </c>
      <c r="Q386" s="22" t="n">
        <f aca="false">IF(OR($A386="",N(L386)=0),0,CEILING(L386*(1+IF($O386="",Taux_Paye,$O386))-0.005,Pas_Arrondi))</f>
        <v>0</v>
      </c>
      <c r="R386" s="22" t="n">
        <f aca="false">IF(OR($A386="",N(M386)=0),0,CEILING(M386*(1+IF($O386="",Taux_Jur,$O386))-0.005,Pas_Arrondi))</f>
        <v>0</v>
      </c>
      <c r="S386" s="22" t="n">
        <f aca="false">IF(OR($A386="",N(N386)=0),0,CEILING(N386*(1+IF($O386="",Taux_PA,$O386))-0.005,Pas_Arrondi))</f>
        <v>0</v>
      </c>
      <c r="T386" s="22" t="str">
        <f aca="false">IF($A386="","",SUM(K386:N386))</f>
        <v/>
      </c>
      <c r="U386" s="22" t="str">
        <f aca="false">IF($A386="","",SUM(P386:S386))</f>
        <v/>
      </c>
      <c r="V386" s="22" t="str">
        <f aca="false">IF($A386="","",U386-T386)</f>
        <v/>
      </c>
      <c r="W386" s="23" t="str">
        <f aca="false">IF(OR($A386="",N(T386)=0),"",V386/T386)</f>
        <v/>
      </c>
      <c r="X386" s="18"/>
      <c r="Y386" s="18"/>
    </row>
    <row r="387" customFormat="false" ht="15" hidden="false" customHeight="false" outlineLevel="0" collapsed="false">
      <c r="A387" s="18"/>
      <c r="B387" s="18"/>
      <c r="C387" s="18"/>
      <c r="D387" s="18"/>
      <c r="E387" s="18"/>
      <c r="F387" s="18"/>
      <c r="G387" s="18"/>
      <c r="H387" s="19"/>
      <c r="I387" s="18"/>
      <c r="J387" s="18"/>
      <c r="K387" s="20"/>
      <c r="L387" s="20"/>
      <c r="M387" s="20"/>
      <c r="N387" s="20"/>
      <c r="O387" s="21"/>
      <c r="P387" s="22" t="n">
        <f aca="false">IF(OR($A387="",N(K387)=0),0,CEILING(K387*(1+IF($O387="",Taux_Compta,$O387))-0.005,Pas_Arrondi))</f>
        <v>0</v>
      </c>
      <c r="Q387" s="22" t="n">
        <f aca="false">IF(OR($A387="",N(L387)=0),0,CEILING(L387*(1+IF($O387="",Taux_Paye,$O387))-0.005,Pas_Arrondi))</f>
        <v>0</v>
      </c>
      <c r="R387" s="22" t="n">
        <f aca="false">IF(OR($A387="",N(M387)=0),0,CEILING(M387*(1+IF($O387="",Taux_Jur,$O387))-0.005,Pas_Arrondi))</f>
        <v>0</v>
      </c>
      <c r="S387" s="22" t="n">
        <f aca="false">IF(OR($A387="",N(N387)=0),0,CEILING(N387*(1+IF($O387="",Taux_PA,$O387))-0.005,Pas_Arrondi))</f>
        <v>0</v>
      </c>
      <c r="T387" s="22" t="str">
        <f aca="false">IF($A387="","",SUM(K387:N387))</f>
        <v/>
      </c>
      <c r="U387" s="22" t="str">
        <f aca="false">IF($A387="","",SUM(P387:S387))</f>
        <v/>
      </c>
      <c r="V387" s="22" t="str">
        <f aca="false">IF($A387="","",U387-T387)</f>
        <v/>
      </c>
      <c r="W387" s="23" t="str">
        <f aca="false">IF(OR($A387="",N(T387)=0),"",V387/T387)</f>
        <v/>
      </c>
      <c r="X387" s="18"/>
      <c r="Y387" s="18"/>
    </row>
    <row r="388" customFormat="false" ht="15" hidden="false" customHeight="false" outlineLevel="0" collapsed="false">
      <c r="A388" s="18"/>
      <c r="B388" s="18"/>
      <c r="C388" s="18"/>
      <c r="D388" s="18"/>
      <c r="E388" s="18"/>
      <c r="F388" s="18"/>
      <c r="G388" s="18"/>
      <c r="H388" s="19"/>
      <c r="I388" s="18"/>
      <c r="J388" s="18"/>
      <c r="K388" s="20"/>
      <c r="L388" s="20"/>
      <c r="M388" s="20"/>
      <c r="N388" s="20"/>
      <c r="O388" s="21"/>
      <c r="P388" s="22" t="n">
        <f aca="false">IF(OR($A388="",N(K388)=0),0,CEILING(K388*(1+IF($O388="",Taux_Compta,$O388))-0.005,Pas_Arrondi))</f>
        <v>0</v>
      </c>
      <c r="Q388" s="22" t="n">
        <f aca="false">IF(OR($A388="",N(L388)=0),0,CEILING(L388*(1+IF($O388="",Taux_Paye,$O388))-0.005,Pas_Arrondi))</f>
        <v>0</v>
      </c>
      <c r="R388" s="22" t="n">
        <f aca="false">IF(OR($A388="",N(M388)=0),0,CEILING(M388*(1+IF($O388="",Taux_Jur,$O388))-0.005,Pas_Arrondi))</f>
        <v>0</v>
      </c>
      <c r="S388" s="22" t="n">
        <f aca="false">IF(OR($A388="",N(N388)=0),0,CEILING(N388*(1+IF($O388="",Taux_PA,$O388))-0.005,Pas_Arrondi))</f>
        <v>0</v>
      </c>
      <c r="T388" s="22" t="str">
        <f aca="false">IF($A388="","",SUM(K388:N388))</f>
        <v/>
      </c>
      <c r="U388" s="22" t="str">
        <f aca="false">IF($A388="","",SUM(P388:S388))</f>
        <v/>
      </c>
      <c r="V388" s="22" t="str">
        <f aca="false">IF($A388="","",U388-T388)</f>
        <v/>
      </c>
      <c r="W388" s="23" t="str">
        <f aca="false">IF(OR($A388="",N(T388)=0),"",V388/T388)</f>
        <v/>
      </c>
      <c r="X388" s="18"/>
      <c r="Y388" s="18"/>
    </row>
    <row r="389" customFormat="false" ht="15" hidden="false" customHeight="false" outlineLevel="0" collapsed="false">
      <c r="A389" s="18"/>
      <c r="B389" s="18"/>
      <c r="C389" s="18"/>
      <c r="D389" s="18"/>
      <c r="E389" s="18"/>
      <c r="F389" s="18"/>
      <c r="G389" s="18"/>
      <c r="H389" s="19"/>
      <c r="I389" s="18"/>
      <c r="J389" s="18"/>
      <c r="K389" s="20"/>
      <c r="L389" s="20"/>
      <c r="M389" s="20"/>
      <c r="N389" s="20"/>
      <c r="O389" s="21"/>
      <c r="P389" s="22" t="n">
        <f aca="false">IF(OR($A389="",N(K389)=0),0,CEILING(K389*(1+IF($O389="",Taux_Compta,$O389))-0.005,Pas_Arrondi))</f>
        <v>0</v>
      </c>
      <c r="Q389" s="22" t="n">
        <f aca="false">IF(OR($A389="",N(L389)=0),0,CEILING(L389*(1+IF($O389="",Taux_Paye,$O389))-0.005,Pas_Arrondi))</f>
        <v>0</v>
      </c>
      <c r="R389" s="22" t="n">
        <f aca="false">IF(OR($A389="",N(M389)=0),0,CEILING(M389*(1+IF($O389="",Taux_Jur,$O389))-0.005,Pas_Arrondi))</f>
        <v>0</v>
      </c>
      <c r="S389" s="22" t="n">
        <f aca="false">IF(OR($A389="",N(N389)=0),0,CEILING(N389*(1+IF($O389="",Taux_PA,$O389))-0.005,Pas_Arrondi))</f>
        <v>0</v>
      </c>
      <c r="T389" s="22" t="str">
        <f aca="false">IF($A389="","",SUM(K389:N389))</f>
        <v/>
      </c>
      <c r="U389" s="22" t="str">
        <f aca="false">IF($A389="","",SUM(P389:S389))</f>
        <v/>
      </c>
      <c r="V389" s="22" t="str">
        <f aca="false">IF($A389="","",U389-T389)</f>
        <v/>
      </c>
      <c r="W389" s="23" t="str">
        <f aca="false">IF(OR($A389="",N(T389)=0),"",V389/T389)</f>
        <v/>
      </c>
      <c r="X389" s="18"/>
      <c r="Y389" s="18"/>
    </row>
    <row r="390" customFormat="false" ht="15" hidden="false" customHeight="false" outlineLevel="0" collapsed="false">
      <c r="A390" s="18"/>
      <c r="B390" s="18"/>
      <c r="C390" s="18"/>
      <c r="D390" s="18"/>
      <c r="E390" s="18"/>
      <c r="F390" s="18"/>
      <c r="G390" s="18"/>
      <c r="H390" s="19"/>
      <c r="I390" s="18"/>
      <c r="J390" s="18"/>
      <c r="K390" s="20"/>
      <c r="L390" s="20"/>
      <c r="M390" s="20"/>
      <c r="N390" s="20"/>
      <c r="O390" s="21"/>
      <c r="P390" s="22" t="n">
        <f aca="false">IF(OR($A390="",N(K390)=0),0,CEILING(K390*(1+IF($O390="",Taux_Compta,$O390))-0.005,Pas_Arrondi))</f>
        <v>0</v>
      </c>
      <c r="Q390" s="22" t="n">
        <f aca="false">IF(OR($A390="",N(L390)=0),0,CEILING(L390*(1+IF($O390="",Taux_Paye,$O390))-0.005,Pas_Arrondi))</f>
        <v>0</v>
      </c>
      <c r="R390" s="22" t="n">
        <f aca="false">IF(OR($A390="",N(M390)=0),0,CEILING(M390*(1+IF($O390="",Taux_Jur,$O390))-0.005,Pas_Arrondi))</f>
        <v>0</v>
      </c>
      <c r="S390" s="22" t="n">
        <f aca="false">IF(OR($A390="",N(N390)=0),0,CEILING(N390*(1+IF($O390="",Taux_PA,$O390))-0.005,Pas_Arrondi))</f>
        <v>0</v>
      </c>
      <c r="T390" s="22" t="str">
        <f aca="false">IF($A390="","",SUM(K390:N390))</f>
        <v/>
      </c>
      <c r="U390" s="22" t="str">
        <f aca="false">IF($A390="","",SUM(P390:S390))</f>
        <v/>
      </c>
      <c r="V390" s="22" t="str">
        <f aca="false">IF($A390="","",U390-T390)</f>
        <v/>
      </c>
      <c r="W390" s="23" t="str">
        <f aca="false">IF(OR($A390="",N(T390)=0),"",V390/T390)</f>
        <v/>
      </c>
      <c r="X390" s="18"/>
      <c r="Y390" s="18"/>
    </row>
    <row r="391" customFormat="false" ht="15" hidden="false" customHeight="false" outlineLevel="0" collapsed="false">
      <c r="A391" s="18"/>
      <c r="B391" s="18"/>
      <c r="C391" s="18"/>
      <c r="D391" s="18"/>
      <c r="E391" s="18"/>
      <c r="F391" s="18"/>
      <c r="G391" s="18"/>
      <c r="H391" s="19"/>
      <c r="I391" s="18"/>
      <c r="J391" s="18"/>
      <c r="K391" s="20"/>
      <c r="L391" s="20"/>
      <c r="M391" s="20"/>
      <c r="N391" s="20"/>
      <c r="O391" s="21"/>
      <c r="P391" s="22" t="n">
        <f aca="false">IF(OR($A391="",N(K391)=0),0,CEILING(K391*(1+IF($O391="",Taux_Compta,$O391))-0.005,Pas_Arrondi))</f>
        <v>0</v>
      </c>
      <c r="Q391" s="22" t="n">
        <f aca="false">IF(OR($A391="",N(L391)=0),0,CEILING(L391*(1+IF($O391="",Taux_Paye,$O391))-0.005,Pas_Arrondi))</f>
        <v>0</v>
      </c>
      <c r="R391" s="22" t="n">
        <f aca="false">IF(OR($A391="",N(M391)=0),0,CEILING(M391*(1+IF($O391="",Taux_Jur,$O391))-0.005,Pas_Arrondi))</f>
        <v>0</v>
      </c>
      <c r="S391" s="22" t="n">
        <f aca="false">IF(OR($A391="",N(N391)=0),0,CEILING(N391*(1+IF($O391="",Taux_PA,$O391))-0.005,Pas_Arrondi))</f>
        <v>0</v>
      </c>
      <c r="T391" s="22" t="str">
        <f aca="false">IF($A391="","",SUM(K391:N391))</f>
        <v/>
      </c>
      <c r="U391" s="22" t="str">
        <f aca="false">IF($A391="","",SUM(P391:S391))</f>
        <v/>
      </c>
      <c r="V391" s="22" t="str">
        <f aca="false">IF($A391="","",U391-T391)</f>
        <v/>
      </c>
      <c r="W391" s="23" t="str">
        <f aca="false">IF(OR($A391="",N(T391)=0),"",V391/T391)</f>
        <v/>
      </c>
      <c r="X391" s="18"/>
      <c r="Y391" s="18"/>
    </row>
    <row r="392" customFormat="false" ht="15" hidden="false" customHeight="false" outlineLevel="0" collapsed="false">
      <c r="A392" s="18"/>
      <c r="B392" s="18"/>
      <c r="C392" s="18"/>
      <c r="D392" s="18"/>
      <c r="E392" s="18"/>
      <c r="F392" s="18"/>
      <c r="G392" s="18"/>
      <c r="H392" s="19"/>
      <c r="I392" s="18"/>
      <c r="J392" s="18"/>
      <c r="K392" s="20"/>
      <c r="L392" s="20"/>
      <c r="M392" s="20"/>
      <c r="N392" s="20"/>
      <c r="O392" s="21"/>
      <c r="P392" s="22" t="n">
        <f aca="false">IF(OR($A392="",N(K392)=0),0,CEILING(K392*(1+IF($O392="",Taux_Compta,$O392))-0.005,Pas_Arrondi))</f>
        <v>0</v>
      </c>
      <c r="Q392" s="22" t="n">
        <f aca="false">IF(OR($A392="",N(L392)=0),0,CEILING(L392*(1+IF($O392="",Taux_Paye,$O392))-0.005,Pas_Arrondi))</f>
        <v>0</v>
      </c>
      <c r="R392" s="22" t="n">
        <f aca="false">IF(OR($A392="",N(M392)=0),0,CEILING(M392*(1+IF($O392="",Taux_Jur,$O392))-0.005,Pas_Arrondi))</f>
        <v>0</v>
      </c>
      <c r="S392" s="22" t="n">
        <f aca="false">IF(OR($A392="",N(N392)=0),0,CEILING(N392*(1+IF($O392="",Taux_PA,$O392))-0.005,Pas_Arrondi))</f>
        <v>0</v>
      </c>
      <c r="T392" s="22" t="str">
        <f aca="false">IF($A392="","",SUM(K392:N392))</f>
        <v/>
      </c>
      <c r="U392" s="22" t="str">
        <f aca="false">IF($A392="","",SUM(P392:S392))</f>
        <v/>
      </c>
      <c r="V392" s="22" t="str">
        <f aca="false">IF($A392="","",U392-T392)</f>
        <v/>
      </c>
      <c r="W392" s="23" t="str">
        <f aca="false">IF(OR($A392="",N(T392)=0),"",V392/T392)</f>
        <v/>
      </c>
      <c r="X392" s="18"/>
      <c r="Y392" s="18"/>
    </row>
    <row r="393" customFormat="false" ht="15" hidden="false" customHeight="false" outlineLevel="0" collapsed="false">
      <c r="A393" s="18"/>
      <c r="B393" s="18"/>
      <c r="C393" s="18"/>
      <c r="D393" s="18"/>
      <c r="E393" s="18"/>
      <c r="F393" s="18"/>
      <c r="G393" s="18"/>
      <c r="H393" s="19"/>
      <c r="I393" s="18"/>
      <c r="J393" s="18"/>
      <c r="K393" s="20"/>
      <c r="L393" s="20"/>
      <c r="M393" s="20"/>
      <c r="N393" s="20"/>
      <c r="O393" s="21"/>
      <c r="P393" s="22" t="n">
        <f aca="false">IF(OR($A393="",N(K393)=0),0,CEILING(K393*(1+IF($O393="",Taux_Compta,$O393))-0.005,Pas_Arrondi))</f>
        <v>0</v>
      </c>
      <c r="Q393" s="22" t="n">
        <f aca="false">IF(OR($A393="",N(L393)=0),0,CEILING(L393*(1+IF($O393="",Taux_Paye,$O393))-0.005,Pas_Arrondi))</f>
        <v>0</v>
      </c>
      <c r="R393" s="22" t="n">
        <f aca="false">IF(OR($A393="",N(M393)=0),0,CEILING(M393*(1+IF($O393="",Taux_Jur,$O393))-0.005,Pas_Arrondi))</f>
        <v>0</v>
      </c>
      <c r="S393" s="22" t="n">
        <f aca="false">IF(OR($A393="",N(N393)=0),0,CEILING(N393*(1+IF($O393="",Taux_PA,$O393))-0.005,Pas_Arrondi))</f>
        <v>0</v>
      </c>
      <c r="T393" s="22" t="str">
        <f aca="false">IF($A393="","",SUM(K393:N393))</f>
        <v/>
      </c>
      <c r="U393" s="22" t="str">
        <f aca="false">IF($A393="","",SUM(P393:S393))</f>
        <v/>
      </c>
      <c r="V393" s="22" t="str">
        <f aca="false">IF($A393="","",U393-T393)</f>
        <v/>
      </c>
      <c r="W393" s="23" t="str">
        <f aca="false">IF(OR($A393="",N(T393)=0),"",V393/T393)</f>
        <v/>
      </c>
      <c r="X393" s="18"/>
      <c r="Y393" s="18"/>
    </row>
    <row r="394" customFormat="false" ht="15" hidden="false" customHeight="false" outlineLevel="0" collapsed="false">
      <c r="A394" s="18"/>
      <c r="B394" s="18"/>
      <c r="C394" s="18"/>
      <c r="D394" s="18"/>
      <c r="E394" s="18"/>
      <c r="F394" s="18"/>
      <c r="G394" s="18"/>
      <c r="H394" s="19"/>
      <c r="I394" s="18"/>
      <c r="J394" s="18"/>
      <c r="K394" s="20"/>
      <c r="L394" s="20"/>
      <c r="M394" s="20"/>
      <c r="N394" s="20"/>
      <c r="O394" s="21"/>
      <c r="P394" s="22" t="n">
        <f aca="false">IF(OR($A394="",N(K394)=0),0,CEILING(K394*(1+IF($O394="",Taux_Compta,$O394))-0.005,Pas_Arrondi))</f>
        <v>0</v>
      </c>
      <c r="Q394" s="22" t="n">
        <f aca="false">IF(OR($A394="",N(L394)=0),0,CEILING(L394*(1+IF($O394="",Taux_Paye,$O394))-0.005,Pas_Arrondi))</f>
        <v>0</v>
      </c>
      <c r="R394" s="22" t="n">
        <f aca="false">IF(OR($A394="",N(M394)=0),0,CEILING(M394*(1+IF($O394="",Taux_Jur,$O394))-0.005,Pas_Arrondi))</f>
        <v>0</v>
      </c>
      <c r="S394" s="22" t="n">
        <f aca="false">IF(OR($A394="",N(N394)=0),0,CEILING(N394*(1+IF($O394="",Taux_PA,$O394))-0.005,Pas_Arrondi))</f>
        <v>0</v>
      </c>
      <c r="T394" s="22" t="str">
        <f aca="false">IF($A394="","",SUM(K394:N394))</f>
        <v/>
      </c>
      <c r="U394" s="22" t="str">
        <f aca="false">IF($A394="","",SUM(P394:S394))</f>
        <v/>
      </c>
      <c r="V394" s="22" t="str">
        <f aca="false">IF($A394="","",U394-T394)</f>
        <v/>
      </c>
      <c r="W394" s="23" t="str">
        <f aca="false">IF(OR($A394="",N(T394)=0),"",V394/T394)</f>
        <v/>
      </c>
      <c r="X394" s="18"/>
      <c r="Y394" s="18"/>
    </row>
    <row r="395" customFormat="false" ht="15" hidden="false" customHeight="false" outlineLevel="0" collapsed="false">
      <c r="A395" s="18"/>
      <c r="B395" s="18"/>
      <c r="C395" s="18"/>
      <c r="D395" s="18"/>
      <c r="E395" s="18"/>
      <c r="F395" s="18"/>
      <c r="G395" s="18"/>
      <c r="H395" s="19"/>
      <c r="I395" s="18"/>
      <c r="J395" s="18"/>
      <c r="K395" s="20"/>
      <c r="L395" s="20"/>
      <c r="M395" s="20"/>
      <c r="N395" s="20"/>
      <c r="O395" s="21"/>
      <c r="P395" s="22" t="n">
        <f aca="false">IF(OR($A395="",N(K395)=0),0,CEILING(K395*(1+IF($O395="",Taux_Compta,$O395))-0.005,Pas_Arrondi))</f>
        <v>0</v>
      </c>
      <c r="Q395" s="22" t="n">
        <f aca="false">IF(OR($A395="",N(L395)=0),0,CEILING(L395*(1+IF($O395="",Taux_Paye,$O395))-0.005,Pas_Arrondi))</f>
        <v>0</v>
      </c>
      <c r="R395" s="22" t="n">
        <f aca="false">IF(OR($A395="",N(M395)=0),0,CEILING(M395*(1+IF($O395="",Taux_Jur,$O395))-0.005,Pas_Arrondi))</f>
        <v>0</v>
      </c>
      <c r="S395" s="22" t="n">
        <f aca="false">IF(OR($A395="",N(N395)=0),0,CEILING(N395*(1+IF($O395="",Taux_PA,$O395))-0.005,Pas_Arrondi))</f>
        <v>0</v>
      </c>
      <c r="T395" s="22" t="str">
        <f aca="false">IF($A395="","",SUM(K395:N395))</f>
        <v/>
      </c>
      <c r="U395" s="22" t="str">
        <f aca="false">IF($A395="","",SUM(P395:S395))</f>
        <v/>
      </c>
      <c r="V395" s="22" t="str">
        <f aca="false">IF($A395="","",U395-T395)</f>
        <v/>
      </c>
      <c r="W395" s="23" t="str">
        <f aca="false">IF(OR($A395="",N(T395)=0),"",V395/T395)</f>
        <v/>
      </c>
      <c r="X395" s="18"/>
      <c r="Y395" s="18"/>
    </row>
    <row r="396" customFormat="false" ht="15" hidden="false" customHeight="false" outlineLevel="0" collapsed="false">
      <c r="A396" s="18"/>
      <c r="B396" s="18"/>
      <c r="C396" s="18"/>
      <c r="D396" s="18"/>
      <c r="E396" s="18"/>
      <c r="F396" s="18"/>
      <c r="G396" s="18"/>
      <c r="H396" s="19"/>
      <c r="I396" s="18"/>
      <c r="J396" s="18"/>
      <c r="K396" s="20"/>
      <c r="L396" s="20"/>
      <c r="M396" s="20"/>
      <c r="N396" s="20"/>
      <c r="O396" s="21"/>
      <c r="P396" s="22" t="n">
        <f aca="false">IF(OR($A396="",N(K396)=0),0,CEILING(K396*(1+IF($O396="",Taux_Compta,$O396))-0.005,Pas_Arrondi))</f>
        <v>0</v>
      </c>
      <c r="Q396" s="22" t="n">
        <f aca="false">IF(OR($A396="",N(L396)=0),0,CEILING(L396*(1+IF($O396="",Taux_Paye,$O396))-0.005,Pas_Arrondi))</f>
        <v>0</v>
      </c>
      <c r="R396" s="22" t="n">
        <f aca="false">IF(OR($A396="",N(M396)=0),0,CEILING(M396*(1+IF($O396="",Taux_Jur,$O396))-0.005,Pas_Arrondi))</f>
        <v>0</v>
      </c>
      <c r="S396" s="22" t="n">
        <f aca="false">IF(OR($A396="",N(N396)=0),0,CEILING(N396*(1+IF($O396="",Taux_PA,$O396))-0.005,Pas_Arrondi))</f>
        <v>0</v>
      </c>
      <c r="T396" s="22" t="str">
        <f aca="false">IF($A396="","",SUM(K396:N396))</f>
        <v/>
      </c>
      <c r="U396" s="22" t="str">
        <f aca="false">IF($A396="","",SUM(P396:S396))</f>
        <v/>
      </c>
      <c r="V396" s="22" t="str">
        <f aca="false">IF($A396="","",U396-T396)</f>
        <v/>
      </c>
      <c r="W396" s="23" t="str">
        <f aca="false">IF(OR($A396="",N(T396)=0),"",V396/T396)</f>
        <v/>
      </c>
      <c r="X396" s="18"/>
      <c r="Y396" s="18"/>
    </row>
    <row r="397" customFormat="false" ht="15" hidden="false" customHeight="false" outlineLevel="0" collapsed="false">
      <c r="A397" s="18"/>
      <c r="B397" s="18"/>
      <c r="C397" s="18"/>
      <c r="D397" s="18"/>
      <c r="E397" s="18"/>
      <c r="F397" s="18"/>
      <c r="G397" s="18"/>
      <c r="H397" s="19"/>
      <c r="I397" s="18"/>
      <c r="J397" s="18"/>
      <c r="K397" s="20"/>
      <c r="L397" s="20"/>
      <c r="M397" s="20"/>
      <c r="N397" s="20"/>
      <c r="O397" s="21"/>
      <c r="P397" s="22" t="n">
        <f aca="false">IF(OR($A397="",N(K397)=0),0,CEILING(K397*(1+IF($O397="",Taux_Compta,$O397))-0.005,Pas_Arrondi))</f>
        <v>0</v>
      </c>
      <c r="Q397" s="22" t="n">
        <f aca="false">IF(OR($A397="",N(L397)=0),0,CEILING(L397*(1+IF($O397="",Taux_Paye,$O397))-0.005,Pas_Arrondi))</f>
        <v>0</v>
      </c>
      <c r="R397" s="22" t="n">
        <f aca="false">IF(OR($A397="",N(M397)=0),0,CEILING(M397*(1+IF($O397="",Taux_Jur,$O397))-0.005,Pas_Arrondi))</f>
        <v>0</v>
      </c>
      <c r="S397" s="22" t="n">
        <f aca="false">IF(OR($A397="",N(N397)=0),0,CEILING(N397*(1+IF($O397="",Taux_PA,$O397))-0.005,Pas_Arrondi))</f>
        <v>0</v>
      </c>
      <c r="T397" s="22" t="str">
        <f aca="false">IF($A397="","",SUM(K397:N397))</f>
        <v/>
      </c>
      <c r="U397" s="22" t="str">
        <f aca="false">IF($A397="","",SUM(P397:S397))</f>
        <v/>
      </c>
      <c r="V397" s="22" t="str">
        <f aca="false">IF($A397="","",U397-T397)</f>
        <v/>
      </c>
      <c r="W397" s="23" t="str">
        <f aca="false">IF(OR($A397="",N(T397)=0),"",V397/T397)</f>
        <v/>
      </c>
      <c r="X397" s="18"/>
      <c r="Y397" s="18"/>
    </row>
    <row r="398" customFormat="false" ht="15" hidden="false" customHeight="false" outlineLevel="0" collapsed="false">
      <c r="A398" s="18"/>
      <c r="B398" s="18"/>
      <c r="C398" s="18"/>
      <c r="D398" s="18"/>
      <c r="E398" s="18"/>
      <c r="F398" s="18"/>
      <c r="G398" s="18"/>
      <c r="H398" s="19"/>
      <c r="I398" s="18"/>
      <c r="J398" s="18"/>
      <c r="K398" s="20"/>
      <c r="L398" s="20"/>
      <c r="M398" s="20"/>
      <c r="N398" s="20"/>
      <c r="O398" s="21"/>
      <c r="P398" s="22" t="n">
        <f aca="false">IF(OR($A398="",N(K398)=0),0,CEILING(K398*(1+IF($O398="",Taux_Compta,$O398))-0.005,Pas_Arrondi))</f>
        <v>0</v>
      </c>
      <c r="Q398" s="22" t="n">
        <f aca="false">IF(OR($A398="",N(L398)=0),0,CEILING(L398*(1+IF($O398="",Taux_Paye,$O398))-0.005,Pas_Arrondi))</f>
        <v>0</v>
      </c>
      <c r="R398" s="22" t="n">
        <f aca="false">IF(OR($A398="",N(M398)=0),0,CEILING(M398*(1+IF($O398="",Taux_Jur,$O398))-0.005,Pas_Arrondi))</f>
        <v>0</v>
      </c>
      <c r="S398" s="22" t="n">
        <f aca="false">IF(OR($A398="",N(N398)=0),0,CEILING(N398*(1+IF($O398="",Taux_PA,$O398))-0.005,Pas_Arrondi))</f>
        <v>0</v>
      </c>
      <c r="T398" s="22" t="str">
        <f aca="false">IF($A398="","",SUM(K398:N398))</f>
        <v/>
      </c>
      <c r="U398" s="22" t="str">
        <f aca="false">IF($A398="","",SUM(P398:S398))</f>
        <v/>
      </c>
      <c r="V398" s="22" t="str">
        <f aca="false">IF($A398="","",U398-T398)</f>
        <v/>
      </c>
      <c r="W398" s="23" t="str">
        <f aca="false">IF(OR($A398="",N(T398)=0),"",V398/T398)</f>
        <v/>
      </c>
      <c r="X398" s="18"/>
      <c r="Y398" s="18"/>
    </row>
    <row r="399" customFormat="false" ht="15" hidden="false" customHeight="false" outlineLevel="0" collapsed="false">
      <c r="A399" s="18"/>
      <c r="B399" s="18"/>
      <c r="C399" s="18"/>
      <c r="D399" s="18"/>
      <c r="E399" s="18"/>
      <c r="F399" s="18"/>
      <c r="G399" s="18"/>
      <c r="H399" s="19"/>
      <c r="I399" s="18"/>
      <c r="J399" s="18"/>
      <c r="K399" s="20"/>
      <c r="L399" s="20"/>
      <c r="M399" s="20"/>
      <c r="N399" s="20"/>
      <c r="O399" s="21"/>
      <c r="P399" s="22" t="n">
        <f aca="false">IF(OR($A399="",N(K399)=0),0,CEILING(K399*(1+IF($O399="",Taux_Compta,$O399))-0.005,Pas_Arrondi))</f>
        <v>0</v>
      </c>
      <c r="Q399" s="22" t="n">
        <f aca="false">IF(OR($A399="",N(L399)=0),0,CEILING(L399*(1+IF($O399="",Taux_Paye,$O399))-0.005,Pas_Arrondi))</f>
        <v>0</v>
      </c>
      <c r="R399" s="22" t="n">
        <f aca="false">IF(OR($A399="",N(M399)=0),0,CEILING(M399*(1+IF($O399="",Taux_Jur,$O399))-0.005,Pas_Arrondi))</f>
        <v>0</v>
      </c>
      <c r="S399" s="22" t="n">
        <f aca="false">IF(OR($A399="",N(N399)=0),0,CEILING(N399*(1+IF($O399="",Taux_PA,$O399))-0.005,Pas_Arrondi))</f>
        <v>0</v>
      </c>
      <c r="T399" s="22" t="str">
        <f aca="false">IF($A399="","",SUM(K399:N399))</f>
        <v/>
      </c>
      <c r="U399" s="22" t="str">
        <f aca="false">IF($A399="","",SUM(P399:S399))</f>
        <v/>
      </c>
      <c r="V399" s="22" t="str">
        <f aca="false">IF($A399="","",U399-T399)</f>
        <v/>
      </c>
      <c r="W399" s="23" t="str">
        <f aca="false">IF(OR($A399="",N(T399)=0),"",V399/T399)</f>
        <v/>
      </c>
      <c r="X399" s="18"/>
      <c r="Y399" s="18"/>
    </row>
    <row r="400" customFormat="false" ht="15" hidden="false" customHeight="false" outlineLevel="0" collapsed="false">
      <c r="A400" s="18"/>
      <c r="B400" s="18"/>
      <c r="C400" s="18"/>
      <c r="D400" s="18"/>
      <c r="E400" s="18"/>
      <c r="F400" s="18"/>
      <c r="G400" s="18"/>
      <c r="H400" s="19"/>
      <c r="I400" s="18"/>
      <c r="J400" s="18"/>
      <c r="K400" s="20"/>
      <c r="L400" s="20"/>
      <c r="M400" s="20"/>
      <c r="N400" s="20"/>
      <c r="O400" s="21"/>
      <c r="P400" s="22" t="n">
        <f aca="false">IF(OR($A400="",N(K400)=0),0,CEILING(K400*(1+IF($O400="",Taux_Compta,$O400))-0.005,Pas_Arrondi))</f>
        <v>0</v>
      </c>
      <c r="Q400" s="22" t="n">
        <f aca="false">IF(OR($A400="",N(L400)=0),0,CEILING(L400*(1+IF($O400="",Taux_Paye,$O400))-0.005,Pas_Arrondi))</f>
        <v>0</v>
      </c>
      <c r="R400" s="22" t="n">
        <f aca="false">IF(OR($A400="",N(M400)=0),0,CEILING(M400*(1+IF($O400="",Taux_Jur,$O400))-0.005,Pas_Arrondi))</f>
        <v>0</v>
      </c>
      <c r="S400" s="22" t="n">
        <f aca="false">IF(OR($A400="",N(N400)=0),0,CEILING(N400*(1+IF($O400="",Taux_PA,$O400))-0.005,Pas_Arrondi))</f>
        <v>0</v>
      </c>
      <c r="T400" s="22" t="str">
        <f aca="false">IF($A400="","",SUM(K400:N400))</f>
        <v/>
      </c>
      <c r="U400" s="22" t="str">
        <f aca="false">IF($A400="","",SUM(P400:S400))</f>
        <v/>
      </c>
      <c r="V400" s="22" t="str">
        <f aca="false">IF($A400="","",U400-T400)</f>
        <v/>
      </c>
      <c r="W400" s="23" t="str">
        <f aca="false">IF(OR($A400="",N(T400)=0),"",V400/T400)</f>
        <v/>
      </c>
      <c r="X400" s="18"/>
      <c r="Y400" s="18"/>
    </row>
    <row r="401" customFormat="false" ht="15" hidden="false" customHeight="false" outlineLevel="0" collapsed="false">
      <c r="A401" s="18"/>
      <c r="B401" s="18"/>
      <c r="C401" s="18"/>
      <c r="D401" s="18"/>
      <c r="E401" s="18"/>
      <c r="F401" s="18"/>
      <c r="G401" s="18"/>
      <c r="H401" s="19"/>
      <c r="I401" s="18"/>
      <c r="J401" s="18"/>
      <c r="K401" s="20"/>
      <c r="L401" s="20"/>
      <c r="M401" s="20"/>
      <c r="N401" s="20"/>
      <c r="O401" s="21"/>
      <c r="P401" s="22" t="n">
        <f aca="false">IF(OR($A401="",N(K401)=0),0,CEILING(K401*(1+IF($O401="",Taux_Compta,$O401))-0.005,Pas_Arrondi))</f>
        <v>0</v>
      </c>
      <c r="Q401" s="22" t="n">
        <f aca="false">IF(OR($A401="",N(L401)=0),0,CEILING(L401*(1+IF($O401="",Taux_Paye,$O401))-0.005,Pas_Arrondi))</f>
        <v>0</v>
      </c>
      <c r="R401" s="22" t="n">
        <f aca="false">IF(OR($A401="",N(M401)=0),0,CEILING(M401*(1+IF($O401="",Taux_Jur,$O401))-0.005,Pas_Arrondi))</f>
        <v>0</v>
      </c>
      <c r="S401" s="22" t="n">
        <f aca="false">IF(OR($A401="",N(N401)=0),0,CEILING(N401*(1+IF($O401="",Taux_PA,$O401))-0.005,Pas_Arrondi))</f>
        <v>0</v>
      </c>
      <c r="T401" s="22" t="str">
        <f aca="false">IF($A401="","",SUM(K401:N401))</f>
        <v/>
      </c>
      <c r="U401" s="22" t="str">
        <f aca="false">IF($A401="","",SUM(P401:S401))</f>
        <v/>
      </c>
      <c r="V401" s="22" t="str">
        <f aca="false">IF($A401="","",U401-T401)</f>
        <v/>
      </c>
      <c r="W401" s="23" t="str">
        <f aca="false">IF(OR($A401="",N(T401)=0),"",V401/T401)</f>
        <v/>
      </c>
      <c r="X401" s="18"/>
      <c r="Y401" s="18"/>
    </row>
    <row r="402" customFormat="false" ht="15" hidden="false" customHeight="false" outlineLevel="0" collapsed="false">
      <c r="A402" s="18"/>
      <c r="B402" s="18"/>
      <c r="C402" s="18"/>
      <c r="D402" s="18"/>
      <c r="E402" s="18"/>
      <c r="F402" s="18"/>
      <c r="G402" s="18"/>
      <c r="H402" s="19"/>
      <c r="I402" s="18"/>
      <c r="J402" s="18"/>
      <c r="K402" s="20"/>
      <c r="L402" s="20"/>
      <c r="M402" s="20"/>
      <c r="N402" s="20"/>
      <c r="O402" s="21"/>
      <c r="P402" s="22" t="n">
        <f aca="false">IF(OR($A402="",N(K402)=0),0,CEILING(K402*(1+IF($O402="",Taux_Compta,$O402))-0.005,Pas_Arrondi))</f>
        <v>0</v>
      </c>
      <c r="Q402" s="22" t="n">
        <f aca="false">IF(OR($A402="",N(L402)=0),0,CEILING(L402*(1+IF($O402="",Taux_Paye,$O402))-0.005,Pas_Arrondi))</f>
        <v>0</v>
      </c>
      <c r="R402" s="22" t="n">
        <f aca="false">IF(OR($A402="",N(M402)=0),0,CEILING(M402*(1+IF($O402="",Taux_Jur,$O402))-0.005,Pas_Arrondi))</f>
        <v>0</v>
      </c>
      <c r="S402" s="22" t="n">
        <f aca="false">IF(OR($A402="",N(N402)=0),0,CEILING(N402*(1+IF($O402="",Taux_PA,$O402))-0.005,Pas_Arrondi))</f>
        <v>0</v>
      </c>
      <c r="T402" s="22" t="str">
        <f aca="false">IF($A402="","",SUM(K402:N402))</f>
        <v/>
      </c>
      <c r="U402" s="22" t="str">
        <f aca="false">IF($A402="","",SUM(P402:S402))</f>
        <v/>
      </c>
      <c r="V402" s="22" t="str">
        <f aca="false">IF($A402="","",U402-T402)</f>
        <v/>
      </c>
      <c r="W402" s="23" t="str">
        <f aca="false">IF(OR($A402="",N(T402)=0),"",V402/T402)</f>
        <v/>
      </c>
      <c r="X402" s="18"/>
      <c r="Y402" s="18"/>
    </row>
    <row r="403" customFormat="false" ht="15" hidden="false" customHeight="false" outlineLevel="0" collapsed="false">
      <c r="A403" s="18"/>
      <c r="B403" s="18"/>
      <c r="C403" s="18"/>
      <c r="D403" s="18"/>
      <c r="E403" s="18"/>
      <c r="F403" s="18"/>
      <c r="G403" s="18"/>
      <c r="H403" s="19"/>
      <c r="I403" s="18"/>
      <c r="J403" s="18"/>
      <c r="K403" s="20"/>
      <c r="L403" s="20"/>
      <c r="M403" s="20"/>
      <c r="N403" s="20"/>
      <c r="O403" s="21"/>
      <c r="P403" s="22" t="n">
        <f aca="false">IF(OR($A403="",N(K403)=0),0,CEILING(K403*(1+IF($O403="",Taux_Compta,$O403))-0.005,Pas_Arrondi))</f>
        <v>0</v>
      </c>
      <c r="Q403" s="22" t="n">
        <f aca="false">IF(OR($A403="",N(L403)=0),0,CEILING(L403*(1+IF($O403="",Taux_Paye,$O403))-0.005,Pas_Arrondi))</f>
        <v>0</v>
      </c>
      <c r="R403" s="22" t="n">
        <f aca="false">IF(OR($A403="",N(M403)=0),0,CEILING(M403*(1+IF($O403="",Taux_Jur,$O403))-0.005,Pas_Arrondi))</f>
        <v>0</v>
      </c>
      <c r="S403" s="22" t="n">
        <f aca="false">IF(OR($A403="",N(N403)=0),0,CEILING(N403*(1+IF($O403="",Taux_PA,$O403))-0.005,Pas_Arrondi))</f>
        <v>0</v>
      </c>
      <c r="T403" s="22" t="str">
        <f aca="false">IF($A403="","",SUM(K403:N403))</f>
        <v/>
      </c>
      <c r="U403" s="22" t="str">
        <f aca="false">IF($A403="","",SUM(P403:S403))</f>
        <v/>
      </c>
      <c r="V403" s="22" t="str">
        <f aca="false">IF($A403="","",U403-T403)</f>
        <v/>
      </c>
      <c r="W403" s="23" t="str">
        <f aca="false">IF(OR($A403="",N(T403)=0),"",V403/T403)</f>
        <v/>
      </c>
      <c r="X403" s="18"/>
      <c r="Y403" s="18"/>
    </row>
    <row r="404" customFormat="false" ht="15" hidden="false" customHeight="false" outlineLevel="0" collapsed="false">
      <c r="A404" s="18"/>
      <c r="B404" s="18"/>
      <c r="C404" s="18"/>
      <c r="D404" s="18"/>
      <c r="E404" s="18"/>
      <c r="F404" s="18"/>
      <c r="G404" s="18"/>
      <c r="H404" s="19"/>
      <c r="I404" s="18"/>
      <c r="J404" s="18"/>
      <c r="K404" s="20"/>
      <c r="L404" s="20"/>
      <c r="M404" s="20"/>
      <c r="N404" s="20"/>
      <c r="O404" s="21"/>
      <c r="P404" s="22" t="n">
        <f aca="false">IF(OR($A404="",N(K404)=0),0,CEILING(K404*(1+IF($O404="",Taux_Compta,$O404))-0.005,Pas_Arrondi))</f>
        <v>0</v>
      </c>
      <c r="Q404" s="22" t="n">
        <f aca="false">IF(OR($A404="",N(L404)=0),0,CEILING(L404*(1+IF($O404="",Taux_Paye,$O404))-0.005,Pas_Arrondi))</f>
        <v>0</v>
      </c>
      <c r="R404" s="22" t="n">
        <f aca="false">IF(OR($A404="",N(M404)=0),0,CEILING(M404*(1+IF($O404="",Taux_Jur,$O404))-0.005,Pas_Arrondi))</f>
        <v>0</v>
      </c>
      <c r="S404" s="22" t="n">
        <f aca="false">IF(OR($A404="",N(N404)=0),0,CEILING(N404*(1+IF($O404="",Taux_PA,$O404))-0.005,Pas_Arrondi))</f>
        <v>0</v>
      </c>
      <c r="T404" s="22" t="str">
        <f aca="false">IF($A404="","",SUM(K404:N404))</f>
        <v/>
      </c>
      <c r="U404" s="22" t="str">
        <f aca="false">IF($A404="","",SUM(P404:S404))</f>
        <v/>
      </c>
      <c r="V404" s="22" t="str">
        <f aca="false">IF($A404="","",U404-T404)</f>
        <v/>
      </c>
      <c r="W404" s="23" t="str">
        <f aca="false">IF(OR($A404="",N(T404)=0),"",V404/T404)</f>
        <v/>
      </c>
      <c r="X404" s="18"/>
      <c r="Y404" s="18"/>
    </row>
    <row r="405" customFormat="false" ht="15" hidden="false" customHeight="false" outlineLevel="0" collapsed="false">
      <c r="A405" s="18"/>
      <c r="B405" s="18"/>
      <c r="C405" s="18"/>
      <c r="D405" s="18"/>
      <c r="E405" s="18"/>
      <c r="F405" s="18"/>
      <c r="G405" s="18"/>
      <c r="H405" s="19"/>
      <c r="I405" s="18"/>
      <c r="J405" s="18"/>
      <c r="K405" s="20"/>
      <c r="L405" s="20"/>
      <c r="M405" s="20"/>
      <c r="N405" s="20"/>
      <c r="O405" s="21"/>
      <c r="P405" s="22" t="n">
        <f aca="false">IF(OR($A405="",N(K405)=0),0,CEILING(K405*(1+IF($O405="",Taux_Compta,$O405))-0.005,Pas_Arrondi))</f>
        <v>0</v>
      </c>
      <c r="Q405" s="22" t="n">
        <f aca="false">IF(OR($A405="",N(L405)=0),0,CEILING(L405*(1+IF($O405="",Taux_Paye,$O405))-0.005,Pas_Arrondi))</f>
        <v>0</v>
      </c>
      <c r="R405" s="22" t="n">
        <f aca="false">IF(OR($A405="",N(M405)=0),0,CEILING(M405*(1+IF($O405="",Taux_Jur,$O405))-0.005,Pas_Arrondi))</f>
        <v>0</v>
      </c>
      <c r="S405" s="22" t="n">
        <f aca="false">IF(OR($A405="",N(N405)=0),0,CEILING(N405*(1+IF($O405="",Taux_PA,$O405))-0.005,Pas_Arrondi))</f>
        <v>0</v>
      </c>
      <c r="T405" s="22" t="str">
        <f aca="false">IF($A405="","",SUM(K405:N405))</f>
        <v/>
      </c>
      <c r="U405" s="22" t="str">
        <f aca="false">IF($A405="","",SUM(P405:S405))</f>
        <v/>
      </c>
      <c r="V405" s="22" t="str">
        <f aca="false">IF($A405="","",U405-T405)</f>
        <v/>
      </c>
      <c r="W405" s="23" t="str">
        <f aca="false">IF(OR($A405="",N(T405)=0),"",V405/T405)</f>
        <v/>
      </c>
      <c r="X405" s="18"/>
      <c r="Y405" s="18"/>
    </row>
    <row r="406" customFormat="false" ht="15" hidden="false" customHeight="false" outlineLevel="0" collapsed="false">
      <c r="A406" s="18"/>
      <c r="B406" s="18"/>
      <c r="C406" s="18"/>
      <c r="D406" s="18"/>
      <c r="E406" s="18"/>
      <c r="F406" s="18"/>
      <c r="G406" s="18"/>
      <c r="H406" s="19"/>
      <c r="I406" s="18"/>
      <c r="J406" s="18"/>
      <c r="K406" s="20"/>
      <c r="L406" s="20"/>
      <c r="M406" s="20"/>
      <c r="N406" s="20"/>
      <c r="O406" s="21"/>
      <c r="P406" s="22" t="n">
        <f aca="false">IF(OR($A406="",N(K406)=0),0,CEILING(K406*(1+IF($O406="",Taux_Compta,$O406))-0.005,Pas_Arrondi))</f>
        <v>0</v>
      </c>
      <c r="Q406" s="22" t="n">
        <f aca="false">IF(OR($A406="",N(L406)=0),0,CEILING(L406*(1+IF($O406="",Taux_Paye,$O406))-0.005,Pas_Arrondi))</f>
        <v>0</v>
      </c>
      <c r="R406" s="22" t="n">
        <f aca="false">IF(OR($A406="",N(M406)=0),0,CEILING(M406*(1+IF($O406="",Taux_Jur,$O406))-0.005,Pas_Arrondi))</f>
        <v>0</v>
      </c>
      <c r="S406" s="22" t="n">
        <f aca="false">IF(OR($A406="",N(N406)=0),0,CEILING(N406*(1+IF($O406="",Taux_PA,$O406))-0.005,Pas_Arrondi))</f>
        <v>0</v>
      </c>
      <c r="T406" s="22" t="str">
        <f aca="false">IF($A406="","",SUM(K406:N406))</f>
        <v/>
      </c>
      <c r="U406" s="22" t="str">
        <f aca="false">IF($A406="","",SUM(P406:S406))</f>
        <v/>
      </c>
      <c r="V406" s="22" t="str">
        <f aca="false">IF($A406="","",U406-T406)</f>
        <v/>
      </c>
      <c r="W406" s="23" t="str">
        <f aca="false">IF(OR($A406="",N(T406)=0),"",V406/T406)</f>
        <v/>
      </c>
      <c r="X406" s="18"/>
      <c r="Y406" s="18"/>
    </row>
    <row r="407" customFormat="false" ht="15" hidden="false" customHeight="false" outlineLevel="0" collapsed="false">
      <c r="A407" s="18"/>
      <c r="B407" s="18"/>
      <c r="C407" s="18"/>
      <c r="D407" s="18"/>
      <c r="E407" s="18"/>
      <c r="F407" s="18"/>
      <c r="G407" s="18"/>
      <c r="H407" s="19"/>
      <c r="I407" s="18"/>
      <c r="J407" s="18"/>
      <c r="K407" s="20"/>
      <c r="L407" s="20"/>
      <c r="M407" s="20"/>
      <c r="N407" s="20"/>
      <c r="O407" s="21"/>
      <c r="P407" s="22" t="n">
        <f aca="false">IF(OR($A407="",N(K407)=0),0,CEILING(K407*(1+IF($O407="",Taux_Compta,$O407))-0.005,Pas_Arrondi))</f>
        <v>0</v>
      </c>
      <c r="Q407" s="22" t="n">
        <f aca="false">IF(OR($A407="",N(L407)=0),0,CEILING(L407*(1+IF($O407="",Taux_Paye,$O407))-0.005,Pas_Arrondi))</f>
        <v>0</v>
      </c>
      <c r="R407" s="22" t="n">
        <f aca="false">IF(OR($A407="",N(M407)=0),0,CEILING(M407*(1+IF($O407="",Taux_Jur,$O407))-0.005,Pas_Arrondi))</f>
        <v>0</v>
      </c>
      <c r="S407" s="22" t="n">
        <f aca="false">IF(OR($A407="",N(N407)=0),0,CEILING(N407*(1+IF($O407="",Taux_PA,$O407))-0.005,Pas_Arrondi))</f>
        <v>0</v>
      </c>
      <c r="T407" s="22" t="str">
        <f aca="false">IF($A407="","",SUM(K407:N407))</f>
        <v/>
      </c>
      <c r="U407" s="22" t="str">
        <f aca="false">IF($A407="","",SUM(P407:S407))</f>
        <v/>
      </c>
      <c r="V407" s="22" t="str">
        <f aca="false">IF($A407="","",U407-T407)</f>
        <v/>
      </c>
      <c r="W407" s="23" t="str">
        <f aca="false">IF(OR($A407="",N(T407)=0),"",V407/T407)</f>
        <v/>
      </c>
      <c r="X407" s="18"/>
      <c r="Y407" s="18"/>
    </row>
    <row r="408" customFormat="false" ht="15" hidden="false" customHeight="false" outlineLevel="0" collapsed="false">
      <c r="A408" s="18"/>
      <c r="B408" s="18"/>
      <c r="C408" s="18"/>
      <c r="D408" s="18"/>
      <c r="E408" s="18"/>
      <c r="F408" s="18"/>
      <c r="G408" s="18"/>
      <c r="H408" s="19"/>
      <c r="I408" s="18"/>
      <c r="J408" s="18"/>
      <c r="K408" s="20"/>
      <c r="L408" s="20"/>
      <c r="M408" s="20"/>
      <c r="N408" s="20"/>
      <c r="O408" s="21"/>
      <c r="P408" s="22" t="n">
        <f aca="false">IF(OR($A408="",N(K408)=0),0,CEILING(K408*(1+IF($O408="",Taux_Compta,$O408))-0.005,Pas_Arrondi))</f>
        <v>0</v>
      </c>
      <c r="Q408" s="22" t="n">
        <f aca="false">IF(OR($A408="",N(L408)=0),0,CEILING(L408*(1+IF($O408="",Taux_Paye,$O408))-0.005,Pas_Arrondi))</f>
        <v>0</v>
      </c>
      <c r="R408" s="22" t="n">
        <f aca="false">IF(OR($A408="",N(M408)=0),0,CEILING(M408*(1+IF($O408="",Taux_Jur,$O408))-0.005,Pas_Arrondi))</f>
        <v>0</v>
      </c>
      <c r="S408" s="22" t="n">
        <f aca="false">IF(OR($A408="",N(N408)=0),0,CEILING(N408*(1+IF($O408="",Taux_PA,$O408))-0.005,Pas_Arrondi))</f>
        <v>0</v>
      </c>
      <c r="T408" s="22" t="str">
        <f aca="false">IF($A408="","",SUM(K408:N408))</f>
        <v/>
      </c>
      <c r="U408" s="22" t="str">
        <f aca="false">IF($A408="","",SUM(P408:S408))</f>
        <v/>
      </c>
      <c r="V408" s="22" t="str">
        <f aca="false">IF($A408="","",U408-T408)</f>
        <v/>
      </c>
      <c r="W408" s="23" t="str">
        <f aca="false">IF(OR($A408="",N(T408)=0),"",V408/T408)</f>
        <v/>
      </c>
      <c r="X408" s="18"/>
      <c r="Y408" s="18"/>
    </row>
    <row r="409" customFormat="false" ht="15" hidden="false" customHeight="false" outlineLevel="0" collapsed="false">
      <c r="A409" s="18"/>
      <c r="B409" s="18"/>
      <c r="C409" s="18"/>
      <c r="D409" s="18"/>
      <c r="E409" s="18"/>
      <c r="F409" s="18"/>
      <c r="G409" s="18"/>
      <c r="H409" s="19"/>
      <c r="I409" s="18"/>
      <c r="J409" s="18"/>
      <c r="K409" s="20"/>
      <c r="L409" s="20"/>
      <c r="M409" s="20"/>
      <c r="N409" s="20"/>
      <c r="O409" s="21"/>
      <c r="P409" s="22" t="n">
        <f aca="false">IF(OR($A409="",N(K409)=0),0,CEILING(K409*(1+IF($O409="",Taux_Compta,$O409))-0.005,Pas_Arrondi))</f>
        <v>0</v>
      </c>
      <c r="Q409" s="22" t="n">
        <f aca="false">IF(OR($A409="",N(L409)=0),0,CEILING(L409*(1+IF($O409="",Taux_Paye,$O409))-0.005,Pas_Arrondi))</f>
        <v>0</v>
      </c>
      <c r="R409" s="22" t="n">
        <f aca="false">IF(OR($A409="",N(M409)=0),0,CEILING(M409*(1+IF($O409="",Taux_Jur,$O409))-0.005,Pas_Arrondi))</f>
        <v>0</v>
      </c>
      <c r="S409" s="22" t="n">
        <f aca="false">IF(OR($A409="",N(N409)=0),0,CEILING(N409*(1+IF($O409="",Taux_PA,$O409))-0.005,Pas_Arrondi))</f>
        <v>0</v>
      </c>
      <c r="T409" s="22" t="str">
        <f aca="false">IF($A409="","",SUM(K409:N409))</f>
        <v/>
      </c>
      <c r="U409" s="22" t="str">
        <f aca="false">IF($A409="","",SUM(P409:S409))</f>
        <v/>
      </c>
      <c r="V409" s="22" t="str">
        <f aca="false">IF($A409="","",U409-T409)</f>
        <v/>
      </c>
      <c r="W409" s="23" t="str">
        <f aca="false">IF(OR($A409="",N(T409)=0),"",V409/T409)</f>
        <v/>
      </c>
      <c r="X409" s="18"/>
      <c r="Y409" s="18"/>
    </row>
    <row r="410" customFormat="false" ht="15" hidden="false" customHeight="false" outlineLevel="0" collapsed="false">
      <c r="A410" s="18"/>
      <c r="B410" s="18"/>
      <c r="C410" s="18"/>
      <c r="D410" s="18"/>
      <c r="E410" s="18"/>
      <c r="F410" s="18"/>
      <c r="G410" s="18"/>
      <c r="H410" s="19"/>
      <c r="I410" s="18"/>
      <c r="J410" s="18"/>
      <c r="K410" s="20"/>
      <c r="L410" s="20"/>
      <c r="M410" s="20"/>
      <c r="N410" s="20"/>
      <c r="O410" s="21"/>
      <c r="P410" s="22" t="n">
        <f aca="false">IF(OR($A410="",N(K410)=0),0,CEILING(K410*(1+IF($O410="",Taux_Compta,$O410))-0.005,Pas_Arrondi))</f>
        <v>0</v>
      </c>
      <c r="Q410" s="22" t="n">
        <f aca="false">IF(OR($A410="",N(L410)=0),0,CEILING(L410*(1+IF($O410="",Taux_Paye,$O410))-0.005,Pas_Arrondi))</f>
        <v>0</v>
      </c>
      <c r="R410" s="22" t="n">
        <f aca="false">IF(OR($A410="",N(M410)=0),0,CEILING(M410*(1+IF($O410="",Taux_Jur,$O410))-0.005,Pas_Arrondi))</f>
        <v>0</v>
      </c>
      <c r="S410" s="22" t="n">
        <f aca="false">IF(OR($A410="",N(N410)=0),0,CEILING(N410*(1+IF($O410="",Taux_PA,$O410))-0.005,Pas_Arrondi))</f>
        <v>0</v>
      </c>
      <c r="T410" s="22" t="str">
        <f aca="false">IF($A410="","",SUM(K410:N410))</f>
        <v/>
      </c>
      <c r="U410" s="22" t="str">
        <f aca="false">IF($A410="","",SUM(P410:S410))</f>
        <v/>
      </c>
      <c r="V410" s="22" t="str">
        <f aca="false">IF($A410="","",U410-T410)</f>
        <v/>
      </c>
      <c r="W410" s="23" t="str">
        <f aca="false">IF(OR($A410="",N(T410)=0),"",V410/T410)</f>
        <v/>
      </c>
      <c r="X410" s="18"/>
      <c r="Y410" s="18"/>
    </row>
    <row r="411" customFormat="false" ht="15" hidden="false" customHeight="false" outlineLevel="0" collapsed="false">
      <c r="A411" s="18"/>
      <c r="B411" s="18"/>
      <c r="C411" s="18"/>
      <c r="D411" s="18"/>
      <c r="E411" s="18"/>
      <c r="F411" s="18"/>
      <c r="G411" s="18"/>
      <c r="H411" s="19"/>
      <c r="I411" s="18"/>
      <c r="J411" s="18"/>
      <c r="K411" s="20"/>
      <c r="L411" s="20"/>
      <c r="M411" s="20"/>
      <c r="N411" s="20"/>
      <c r="O411" s="21"/>
      <c r="P411" s="22" t="n">
        <f aca="false">IF(OR($A411="",N(K411)=0),0,CEILING(K411*(1+IF($O411="",Taux_Compta,$O411))-0.005,Pas_Arrondi))</f>
        <v>0</v>
      </c>
      <c r="Q411" s="22" t="n">
        <f aca="false">IF(OR($A411="",N(L411)=0),0,CEILING(L411*(1+IF($O411="",Taux_Paye,$O411))-0.005,Pas_Arrondi))</f>
        <v>0</v>
      </c>
      <c r="R411" s="22" t="n">
        <f aca="false">IF(OR($A411="",N(M411)=0),0,CEILING(M411*(1+IF($O411="",Taux_Jur,$O411))-0.005,Pas_Arrondi))</f>
        <v>0</v>
      </c>
      <c r="S411" s="22" t="n">
        <f aca="false">IF(OR($A411="",N(N411)=0),0,CEILING(N411*(1+IF($O411="",Taux_PA,$O411))-0.005,Pas_Arrondi))</f>
        <v>0</v>
      </c>
      <c r="T411" s="22" t="str">
        <f aca="false">IF($A411="","",SUM(K411:N411))</f>
        <v/>
      </c>
      <c r="U411" s="22" t="str">
        <f aca="false">IF($A411="","",SUM(P411:S411))</f>
        <v/>
      </c>
      <c r="V411" s="22" t="str">
        <f aca="false">IF($A411="","",U411-T411)</f>
        <v/>
      </c>
      <c r="W411" s="23" t="str">
        <f aca="false">IF(OR($A411="",N(T411)=0),"",V411/T411)</f>
        <v/>
      </c>
      <c r="X411" s="18"/>
      <c r="Y411" s="18"/>
    </row>
    <row r="412" customFormat="false" ht="15" hidden="false" customHeight="false" outlineLevel="0" collapsed="false">
      <c r="A412" s="18"/>
      <c r="B412" s="18"/>
      <c r="C412" s="18"/>
      <c r="D412" s="18"/>
      <c r="E412" s="18"/>
      <c r="F412" s="18"/>
      <c r="G412" s="18"/>
      <c r="H412" s="19"/>
      <c r="I412" s="18"/>
      <c r="J412" s="18"/>
      <c r="K412" s="20"/>
      <c r="L412" s="20"/>
      <c r="M412" s="20"/>
      <c r="N412" s="20"/>
      <c r="O412" s="21"/>
      <c r="P412" s="22" t="n">
        <f aca="false">IF(OR($A412="",N(K412)=0),0,CEILING(K412*(1+IF($O412="",Taux_Compta,$O412))-0.005,Pas_Arrondi))</f>
        <v>0</v>
      </c>
      <c r="Q412" s="22" t="n">
        <f aca="false">IF(OR($A412="",N(L412)=0),0,CEILING(L412*(1+IF($O412="",Taux_Paye,$O412))-0.005,Pas_Arrondi))</f>
        <v>0</v>
      </c>
      <c r="R412" s="22" t="n">
        <f aca="false">IF(OR($A412="",N(M412)=0),0,CEILING(M412*(1+IF($O412="",Taux_Jur,$O412))-0.005,Pas_Arrondi))</f>
        <v>0</v>
      </c>
      <c r="S412" s="22" t="n">
        <f aca="false">IF(OR($A412="",N(N412)=0),0,CEILING(N412*(1+IF($O412="",Taux_PA,$O412))-0.005,Pas_Arrondi))</f>
        <v>0</v>
      </c>
      <c r="T412" s="22" t="str">
        <f aca="false">IF($A412="","",SUM(K412:N412))</f>
        <v/>
      </c>
      <c r="U412" s="22" t="str">
        <f aca="false">IF($A412="","",SUM(P412:S412))</f>
        <v/>
      </c>
      <c r="V412" s="22" t="str">
        <f aca="false">IF($A412="","",U412-T412)</f>
        <v/>
      </c>
      <c r="W412" s="23" t="str">
        <f aca="false">IF(OR($A412="",N(T412)=0),"",V412/T412)</f>
        <v/>
      </c>
      <c r="X412" s="18"/>
      <c r="Y412" s="18"/>
    </row>
    <row r="413" customFormat="false" ht="15" hidden="false" customHeight="false" outlineLevel="0" collapsed="false">
      <c r="A413" s="18"/>
      <c r="B413" s="18"/>
      <c r="C413" s="18"/>
      <c r="D413" s="18"/>
      <c r="E413" s="18"/>
      <c r="F413" s="18"/>
      <c r="G413" s="18"/>
      <c r="H413" s="19"/>
      <c r="I413" s="18"/>
      <c r="J413" s="18"/>
      <c r="K413" s="20"/>
      <c r="L413" s="20"/>
      <c r="M413" s="20"/>
      <c r="N413" s="20"/>
      <c r="O413" s="21"/>
      <c r="P413" s="22" t="n">
        <f aca="false">IF(OR($A413="",N(K413)=0),0,CEILING(K413*(1+IF($O413="",Taux_Compta,$O413))-0.005,Pas_Arrondi))</f>
        <v>0</v>
      </c>
      <c r="Q413" s="22" t="n">
        <f aca="false">IF(OR($A413="",N(L413)=0),0,CEILING(L413*(1+IF($O413="",Taux_Paye,$O413))-0.005,Pas_Arrondi))</f>
        <v>0</v>
      </c>
      <c r="R413" s="22" t="n">
        <f aca="false">IF(OR($A413="",N(M413)=0),0,CEILING(M413*(1+IF($O413="",Taux_Jur,$O413))-0.005,Pas_Arrondi))</f>
        <v>0</v>
      </c>
      <c r="S413" s="22" t="n">
        <f aca="false">IF(OR($A413="",N(N413)=0),0,CEILING(N413*(1+IF($O413="",Taux_PA,$O413))-0.005,Pas_Arrondi))</f>
        <v>0</v>
      </c>
      <c r="T413" s="22" t="str">
        <f aca="false">IF($A413="","",SUM(K413:N413))</f>
        <v/>
      </c>
      <c r="U413" s="22" t="str">
        <f aca="false">IF($A413="","",SUM(P413:S413))</f>
        <v/>
      </c>
      <c r="V413" s="22" t="str">
        <f aca="false">IF($A413="","",U413-T413)</f>
        <v/>
      </c>
      <c r="W413" s="23" t="str">
        <f aca="false">IF(OR($A413="",N(T413)=0),"",V413/T413)</f>
        <v/>
      </c>
      <c r="X413" s="18"/>
      <c r="Y413" s="18"/>
    </row>
    <row r="414" customFormat="false" ht="15" hidden="false" customHeight="false" outlineLevel="0" collapsed="false">
      <c r="A414" s="18"/>
      <c r="B414" s="18"/>
      <c r="C414" s="18"/>
      <c r="D414" s="18"/>
      <c r="E414" s="18"/>
      <c r="F414" s="18"/>
      <c r="G414" s="18"/>
      <c r="H414" s="19"/>
      <c r="I414" s="18"/>
      <c r="J414" s="18"/>
      <c r="K414" s="20"/>
      <c r="L414" s="20"/>
      <c r="M414" s="20"/>
      <c r="N414" s="20"/>
      <c r="O414" s="21"/>
      <c r="P414" s="22" t="n">
        <f aca="false">IF(OR($A414="",N(K414)=0),0,CEILING(K414*(1+IF($O414="",Taux_Compta,$O414))-0.005,Pas_Arrondi))</f>
        <v>0</v>
      </c>
      <c r="Q414" s="22" t="n">
        <f aca="false">IF(OR($A414="",N(L414)=0),0,CEILING(L414*(1+IF($O414="",Taux_Paye,$O414))-0.005,Pas_Arrondi))</f>
        <v>0</v>
      </c>
      <c r="R414" s="22" t="n">
        <f aca="false">IF(OR($A414="",N(M414)=0),0,CEILING(M414*(1+IF($O414="",Taux_Jur,$O414))-0.005,Pas_Arrondi))</f>
        <v>0</v>
      </c>
      <c r="S414" s="22" t="n">
        <f aca="false">IF(OR($A414="",N(N414)=0),0,CEILING(N414*(1+IF($O414="",Taux_PA,$O414))-0.005,Pas_Arrondi))</f>
        <v>0</v>
      </c>
      <c r="T414" s="22" t="str">
        <f aca="false">IF($A414="","",SUM(K414:N414))</f>
        <v/>
      </c>
      <c r="U414" s="22" t="str">
        <f aca="false">IF($A414="","",SUM(P414:S414))</f>
        <v/>
      </c>
      <c r="V414" s="22" t="str">
        <f aca="false">IF($A414="","",U414-T414)</f>
        <v/>
      </c>
      <c r="W414" s="23" t="str">
        <f aca="false">IF(OR($A414="",N(T414)=0),"",V414/T414)</f>
        <v/>
      </c>
      <c r="X414" s="18"/>
      <c r="Y414" s="18"/>
    </row>
    <row r="415" customFormat="false" ht="15" hidden="false" customHeight="false" outlineLevel="0" collapsed="false">
      <c r="A415" s="18"/>
      <c r="B415" s="18"/>
      <c r="C415" s="18"/>
      <c r="D415" s="18"/>
      <c r="E415" s="18"/>
      <c r="F415" s="18"/>
      <c r="G415" s="18"/>
      <c r="H415" s="19"/>
      <c r="I415" s="18"/>
      <c r="J415" s="18"/>
      <c r="K415" s="20"/>
      <c r="L415" s="20"/>
      <c r="M415" s="20"/>
      <c r="N415" s="20"/>
      <c r="O415" s="21"/>
      <c r="P415" s="22" t="n">
        <f aca="false">IF(OR($A415="",N(K415)=0),0,CEILING(K415*(1+IF($O415="",Taux_Compta,$O415))-0.005,Pas_Arrondi))</f>
        <v>0</v>
      </c>
      <c r="Q415" s="22" t="n">
        <f aca="false">IF(OR($A415="",N(L415)=0),0,CEILING(L415*(1+IF($O415="",Taux_Paye,$O415))-0.005,Pas_Arrondi))</f>
        <v>0</v>
      </c>
      <c r="R415" s="22" t="n">
        <f aca="false">IF(OR($A415="",N(M415)=0),0,CEILING(M415*(1+IF($O415="",Taux_Jur,$O415))-0.005,Pas_Arrondi))</f>
        <v>0</v>
      </c>
      <c r="S415" s="22" t="n">
        <f aca="false">IF(OR($A415="",N(N415)=0),0,CEILING(N415*(1+IF($O415="",Taux_PA,$O415))-0.005,Pas_Arrondi))</f>
        <v>0</v>
      </c>
      <c r="T415" s="22" t="str">
        <f aca="false">IF($A415="","",SUM(K415:N415))</f>
        <v/>
      </c>
      <c r="U415" s="22" t="str">
        <f aca="false">IF($A415="","",SUM(P415:S415))</f>
        <v/>
      </c>
      <c r="V415" s="22" t="str">
        <f aca="false">IF($A415="","",U415-T415)</f>
        <v/>
      </c>
      <c r="W415" s="23" t="str">
        <f aca="false">IF(OR($A415="",N(T415)=0),"",V415/T415)</f>
        <v/>
      </c>
      <c r="X415" s="18"/>
      <c r="Y415" s="18"/>
    </row>
    <row r="416" customFormat="false" ht="15" hidden="false" customHeight="false" outlineLevel="0" collapsed="false">
      <c r="A416" s="18"/>
      <c r="B416" s="18"/>
      <c r="C416" s="18"/>
      <c r="D416" s="18"/>
      <c r="E416" s="18"/>
      <c r="F416" s="18"/>
      <c r="G416" s="18"/>
      <c r="H416" s="19"/>
      <c r="I416" s="18"/>
      <c r="J416" s="18"/>
      <c r="K416" s="20"/>
      <c r="L416" s="20"/>
      <c r="M416" s="20"/>
      <c r="N416" s="20"/>
      <c r="O416" s="21"/>
      <c r="P416" s="22" t="n">
        <f aca="false">IF(OR($A416="",N(K416)=0),0,CEILING(K416*(1+IF($O416="",Taux_Compta,$O416))-0.005,Pas_Arrondi))</f>
        <v>0</v>
      </c>
      <c r="Q416" s="22" t="n">
        <f aca="false">IF(OR($A416="",N(L416)=0),0,CEILING(L416*(1+IF($O416="",Taux_Paye,$O416))-0.005,Pas_Arrondi))</f>
        <v>0</v>
      </c>
      <c r="R416" s="22" t="n">
        <f aca="false">IF(OR($A416="",N(M416)=0),0,CEILING(M416*(1+IF($O416="",Taux_Jur,$O416))-0.005,Pas_Arrondi))</f>
        <v>0</v>
      </c>
      <c r="S416" s="22" t="n">
        <f aca="false">IF(OR($A416="",N(N416)=0),0,CEILING(N416*(1+IF($O416="",Taux_PA,$O416))-0.005,Pas_Arrondi))</f>
        <v>0</v>
      </c>
      <c r="T416" s="22" t="str">
        <f aca="false">IF($A416="","",SUM(K416:N416))</f>
        <v/>
      </c>
      <c r="U416" s="22" t="str">
        <f aca="false">IF($A416="","",SUM(P416:S416))</f>
        <v/>
      </c>
      <c r="V416" s="22" t="str">
        <f aca="false">IF($A416="","",U416-T416)</f>
        <v/>
      </c>
      <c r="W416" s="23" t="str">
        <f aca="false">IF(OR($A416="",N(T416)=0),"",V416/T416)</f>
        <v/>
      </c>
      <c r="X416" s="18"/>
      <c r="Y416" s="18"/>
    </row>
    <row r="417" customFormat="false" ht="15" hidden="false" customHeight="false" outlineLevel="0" collapsed="false">
      <c r="A417" s="18"/>
      <c r="B417" s="18"/>
      <c r="C417" s="18"/>
      <c r="D417" s="18"/>
      <c r="E417" s="18"/>
      <c r="F417" s="18"/>
      <c r="G417" s="18"/>
      <c r="H417" s="19"/>
      <c r="I417" s="18"/>
      <c r="J417" s="18"/>
      <c r="K417" s="20"/>
      <c r="L417" s="20"/>
      <c r="M417" s="20"/>
      <c r="N417" s="20"/>
      <c r="O417" s="21"/>
      <c r="P417" s="22" t="n">
        <f aca="false">IF(OR($A417="",N(K417)=0),0,CEILING(K417*(1+IF($O417="",Taux_Compta,$O417))-0.005,Pas_Arrondi))</f>
        <v>0</v>
      </c>
      <c r="Q417" s="22" t="n">
        <f aca="false">IF(OR($A417="",N(L417)=0),0,CEILING(L417*(1+IF($O417="",Taux_Paye,$O417))-0.005,Pas_Arrondi))</f>
        <v>0</v>
      </c>
      <c r="R417" s="22" t="n">
        <f aca="false">IF(OR($A417="",N(M417)=0),0,CEILING(M417*(1+IF($O417="",Taux_Jur,$O417))-0.005,Pas_Arrondi))</f>
        <v>0</v>
      </c>
      <c r="S417" s="22" t="n">
        <f aca="false">IF(OR($A417="",N(N417)=0),0,CEILING(N417*(1+IF($O417="",Taux_PA,$O417))-0.005,Pas_Arrondi))</f>
        <v>0</v>
      </c>
      <c r="T417" s="22" t="str">
        <f aca="false">IF($A417="","",SUM(K417:N417))</f>
        <v/>
      </c>
      <c r="U417" s="22" t="str">
        <f aca="false">IF($A417="","",SUM(P417:S417))</f>
        <v/>
      </c>
      <c r="V417" s="22" t="str">
        <f aca="false">IF($A417="","",U417-T417)</f>
        <v/>
      </c>
      <c r="W417" s="23" t="str">
        <f aca="false">IF(OR($A417="",N(T417)=0),"",V417/T417)</f>
        <v/>
      </c>
      <c r="X417" s="18"/>
      <c r="Y417" s="18"/>
    </row>
    <row r="418" customFormat="false" ht="15" hidden="false" customHeight="false" outlineLevel="0" collapsed="false">
      <c r="A418" s="18"/>
      <c r="B418" s="18"/>
      <c r="C418" s="18"/>
      <c r="D418" s="18"/>
      <c r="E418" s="18"/>
      <c r="F418" s="18"/>
      <c r="G418" s="18"/>
      <c r="H418" s="19"/>
      <c r="I418" s="18"/>
      <c r="J418" s="18"/>
      <c r="K418" s="20"/>
      <c r="L418" s="20"/>
      <c r="M418" s="20"/>
      <c r="N418" s="20"/>
      <c r="O418" s="21"/>
      <c r="P418" s="22" t="n">
        <f aca="false">IF(OR($A418="",N(K418)=0),0,CEILING(K418*(1+IF($O418="",Taux_Compta,$O418))-0.005,Pas_Arrondi))</f>
        <v>0</v>
      </c>
      <c r="Q418" s="22" t="n">
        <f aca="false">IF(OR($A418="",N(L418)=0),0,CEILING(L418*(1+IF($O418="",Taux_Paye,$O418))-0.005,Pas_Arrondi))</f>
        <v>0</v>
      </c>
      <c r="R418" s="22" t="n">
        <f aca="false">IF(OR($A418="",N(M418)=0),0,CEILING(M418*(1+IF($O418="",Taux_Jur,$O418))-0.005,Pas_Arrondi))</f>
        <v>0</v>
      </c>
      <c r="S418" s="22" t="n">
        <f aca="false">IF(OR($A418="",N(N418)=0),0,CEILING(N418*(1+IF($O418="",Taux_PA,$O418))-0.005,Pas_Arrondi))</f>
        <v>0</v>
      </c>
      <c r="T418" s="22" t="str">
        <f aca="false">IF($A418="","",SUM(K418:N418))</f>
        <v/>
      </c>
      <c r="U418" s="22" t="str">
        <f aca="false">IF($A418="","",SUM(P418:S418))</f>
        <v/>
      </c>
      <c r="V418" s="22" t="str">
        <f aca="false">IF($A418="","",U418-T418)</f>
        <v/>
      </c>
      <c r="W418" s="23" t="str">
        <f aca="false">IF(OR($A418="",N(T418)=0),"",V418/T418)</f>
        <v/>
      </c>
      <c r="X418" s="18"/>
      <c r="Y418" s="18"/>
    </row>
    <row r="419" customFormat="false" ht="15" hidden="false" customHeight="false" outlineLevel="0" collapsed="false">
      <c r="A419" s="18"/>
      <c r="B419" s="18"/>
      <c r="C419" s="18"/>
      <c r="D419" s="18"/>
      <c r="E419" s="18"/>
      <c r="F419" s="18"/>
      <c r="G419" s="18"/>
      <c r="H419" s="19"/>
      <c r="I419" s="18"/>
      <c r="J419" s="18"/>
      <c r="K419" s="20"/>
      <c r="L419" s="20"/>
      <c r="M419" s="20"/>
      <c r="N419" s="20"/>
      <c r="O419" s="21"/>
      <c r="P419" s="22" t="n">
        <f aca="false">IF(OR($A419="",N(K419)=0),0,CEILING(K419*(1+IF($O419="",Taux_Compta,$O419))-0.005,Pas_Arrondi))</f>
        <v>0</v>
      </c>
      <c r="Q419" s="22" t="n">
        <f aca="false">IF(OR($A419="",N(L419)=0),0,CEILING(L419*(1+IF($O419="",Taux_Paye,$O419))-0.005,Pas_Arrondi))</f>
        <v>0</v>
      </c>
      <c r="R419" s="22" t="n">
        <f aca="false">IF(OR($A419="",N(M419)=0),0,CEILING(M419*(1+IF($O419="",Taux_Jur,$O419))-0.005,Pas_Arrondi))</f>
        <v>0</v>
      </c>
      <c r="S419" s="22" t="n">
        <f aca="false">IF(OR($A419="",N(N419)=0),0,CEILING(N419*(1+IF($O419="",Taux_PA,$O419))-0.005,Pas_Arrondi))</f>
        <v>0</v>
      </c>
      <c r="T419" s="22" t="str">
        <f aca="false">IF($A419="","",SUM(K419:N419))</f>
        <v/>
      </c>
      <c r="U419" s="22" t="str">
        <f aca="false">IF($A419="","",SUM(P419:S419))</f>
        <v/>
      </c>
      <c r="V419" s="22" t="str">
        <f aca="false">IF($A419="","",U419-T419)</f>
        <v/>
      </c>
      <c r="W419" s="23" t="str">
        <f aca="false">IF(OR($A419="",N(T419)=0),"",V419/T419)</f>
        <v/>
      </c>
      <c r="X419" s="18"/>
      <c r="Y419" s="18"/>
    </row>
    <row r="420" customFormat="false" ht="15" hidden="false" customHeight="false" outlineLevel="0" collapsed="false">
      <c r="A420" s="18"/>
      <c r="B420" s="18"/>
      <c r="C420" s="18"/>
      <c r="D420" s="18"/>
      <c r="E420" s="18"/>
      <c r="F420" s="18"/>
      <c r="G420" s="18"/>
      <c r="H420" s="19"/>
      <c r="I420" s="18"/>
      <c r="J420" s="18"/>
      <c r="K420" s="20"/>
      <c r="L420" s="20"/>
      <c r="M420" s="20"/>
      <c r="N420" s="20"/>
      <c r="O420" s="21"/>
      <c r="P420" s="22" t="n">
        <f aca="false">IF(OR($A420="",N(K420)=0),0,CEILING(K420*(1+IF($O420="",Taux_Compta,$O420))-0.005,Pas_Arrondi))</f>
        <v>0</v>
      </c>
      <c r="Q420" s="22" t="n">
        <f aca="false">IF(OR($A420="",N(L420)=0),0,CEILING(L420*(1+IF($O420="",Taux_Paye,$O420))-0.005,Pas_Arrondi))</f>
        <v>0</v>
      </c>
      <c r="R420" s="22" t="n">
        <f aca="false">IF(OR($A420="",N(M420)=0),0,CEILING(M420*(1+IF($O420="",Taux_Jur,$O420))-0.005,Pas_Arrondi))</f>
        <v>0</v>
      </c>
      <c r="S420" s="22" t="n">
        <f aca="false">IF(OR($A420="",N(N420)=0),0,CEILING(N420*(1+IF($O420="",Taux_PA,$O420))-0.005,Pas_Arrondi))</f>
        <v>0</v>
      </c>
      <c r="T420" s="22" t="str">
        <f aca="false">IF($A420="","",SUM(K420:N420))</f>
        <v/>
      </c>
      <c r="U420" s="22" t="str">
        <f aca="false">IF($A420="","",SUM(P420:S420))</f>
        <v/>
      </c>
      <c r="V420" s="22" t="str">
        <f aca="false">IF($A420="","",U420-T420)</f>
        <v/>
      </c>
      <c r="W420" s="23" t="str">
        <f aca="false">IF(OR($A420="",N(T420)=0),"",V420/T420)</f>
        <v/>
      </c>
      <c r="X420" s="18"/>
      <c r="Y420" s="18"/>
    </row>
    <row r="421" customFormat="false" ht="15" hidden="false" customHeight="false" outlineLevel="0" collapsed="false">
      <c r="A421" s="18"/>
      <c r="B421" s="18"/>
      <c r="C421" s="18"/>
      <c r="D421" s="18"/>
      <c r="E421" s="18"/>
      <c r="F421" s="18"/>
      <c r="G421" s="18"/>
      <c r="H421" s="19"/>
      <c r="I421" s="18"/>
      <c r="J421" s="18"/>
      <c r="K421" s="20"/>
      <c r="L421" s="20"/>
      <c r="M421" s="20"/>
      <c r="N421" s="20"/>
      <c r="O421" s="21"/>
      <c r="P421" s="22" t="n">
        <f aca="false">IF(OR($A421="",N(K421)=0),0,CEILING(K421*(1+IF($O421="",Taux_Compta,$O421))-0.005,Pas_Arrondi))</f>
        <v>0</v>
      </c>
      <c r="Q421" s="22" t="n">
        <f aca="false">IF(OR($A421="",N(L421)=0),0,CEILING(L421*(1+IF($O421="",Taux_Paye,$O421))-0.005,Pas_Arrondi))</f>
        <v>0</v>
      </c>
      <c r="R421" s="22" t="n">
        <f aca="false">IF(OR($A421="",N(M421)=0),0,CEILING(M421*(1+IF($O421="",Taux_Jur,$O421))-0.005,Pas_Arrondi))</f>
        <v>0</v>
      </c>
      <c r="S421" s="22" t="n">
        <f aca="false">IF(OR($A421="",N(N421)=0),0,CEILING(N421*(1+IF($O421="",Taux_PA,$O421))-0.005,Pas_Arrondi))</f>
        <v>0</v>
      </c>
      <c r="T421" s="22" t="str">
        <f aca="false">IF($A421="","",SUM(K421:N421))</f>
        <v/>
      </c>
      <c r="U421" s="22" t="str">
        <f aca="false">IF($A421="","",SUM(P421:S421))</f>
        <v/>
      </c>
      <c r="V421" s="22" t="str">
        <f aca="false">IF($A421="","",U421-T421)</f>
        <v/>
      </c>
      <c r="W421" s="23" t="str">
        <f aca="false">IF(OR($A421="",N(T421)=0),"",V421/T421)</f>
        <v/>
      </c>
      <c r="X421" s="18"/>
      <c r="Y421" s="18"/>
    </row>
    <row r="422" customFormat="false" ht="15" hidden="false" customHeight="false" outlineLevel="0" collapsed="false">
      <c r="A422" s="18"/>
      <c r="B422" s="18"/>
      <c r="C422" s="18"/>
      <c r="D422" s="18"/>
      <c r="E422" s="18"/>
      <c r="F422" s="18"/>
      <c r="G422" s="18"/>
      <c r="H422" s="19"/>
      <c r="I422" s="18"/>
      <c r="J422" s="18"/>
      <c r="K422" s="20"/>
      <c r="L422" s="20"/>
      <c r="M422" s="20"/>
      <c r="N422" s="20"/>
      <c r="O422" s="21"/>
      <c r="P422" s="22" t="n">
        <f aca="false">IF(OR($A422="",N(K422)=0),0,CEILING(K422*(1+IF($O422="",Taux_Compta,$O422))-0.005,Pas_Arrondi))</f>
        <v>0</v>
      </c>
      <c r="Q422" s="22" t="n">
        <f aca="false">IF(OR($A422="",N(L422)=0),0,CEILING(L422*(1+IF($O422="",Taux_Paye,$O422))-0.005,Pas_Arrondi))</f>
        <v>0</v>
      </c>
      <c r="R422" s="22" t="n">
        <f aca="false">IF(OR($A422="",N(M422)=0),0,CEILING(M422*(1+IF($O422="",Taux_Jur,$O422))-0.005,Pas_Arrondi))</f>
        <v>0</v>
      </c>
      <c r="S422" s="22" t="n">
        <f aca="false">IF(OR($A422="",N(N422)=0),0,CEILING(N422*(1+IF($O422="",Taux_PA,$O422))-0.005,Pas_Arrondi))</f>
        <v>0</v>
      </c>
      <c r="T422" s="22" t="str">
        <f aca="false">IF($A422="","",SUM(K422:N422))</f>
        <v/>
      </c>
      <c r="U422" s="22" t="str">
        <f aca="false">IF($A422="","",SUM(P422:S422))</f>
        <v/>
      </c>
      <c r="V422" s="22" t="str">
        <f aca="false">IF($A422="","",U422-T422)</f>
        <v/>
      </c>
      <c r="W422" s="23" t="str">
        <f aca="false">IF(OR($A422="",N(T422)=0),"",V422/T422)</f>
        <v/>
      </c>
      <c r="X422" s="18"/>
      <c r="Y422" s="18"/>
    </row>
    <row r="423" customFormat="false" ht="15" hidden="false" customHeight="false" outlineLevel="0" collapsed="false">
      <c r="A423" s="18"/>
      <c r="B423" s="18"/>
      <c r="C423" s="18"/>
      <c r="D423" s="18"/>
      <c r="E423" s="18"/>
      <c r="F423" s="18"/>
      <c r="G423" s="18"/>
      <c r="H423" s="19"/>
      <c r="I423" s="18"/>
      <c r="J423" s="18"/>
      <c r="K423" s="20"/>
      <c r="L423" s="20"/>
      <c r="M423" s="20"/>
      <c r="N423" s="20"/>
      <c r="O423" s="21"/>
      <c r="P423" s="22" t="n">
        <f aca="false">IF(OR($A423="",N(K423)=0),0,CEILING(K423*(1+IF($O423="",Taux_Compta,$O423))-0.005,Pas_Arrondi))</f>
        <v>0</v>
      </c>
      <c r="Q423" s="22" t="n">
        <f aca="false">IF(OR($A423="",N(L423)=0),0,CEILING(L423*(1+IF($O423="",Taux_Paye,$O423))-0.005,Pas_Arrondi))</f>
        <v>0</v>
      </c>
      <c r="R423" s="22" t="n">
        <f aca="false">IF(OR($A423="",N(M423)=0),0,CEILING(M423*(1+IF($O423="",Taux_Jur,$O423))-0.005,Pas_Arrondi))</f>
        <v>0</v>
      </c>
      <c r="S423" s="22" t="n">
        <f aca="false">IF(OR($A423="",N(N423)=0),0,CEILING(N423*(1+IF($O423="",Taux_PA,$O423))-0.005,Pas_Arrondi))</f>
        <v>0</v>
      </c>
      <c r="T423" s="22" t="str">
        <f aca="false">IF($A423="","",SUM(K423:N423))</f>
        <v/>
      </c>
      <c r="U423" s="22" t="str">
        <f aca="false">IF($A423="","",SUM(P423:S423))</f>
        <v/>
      </c>
      <c r="V423" s="22" t="str">
        <f aca="false">IF($A423="","",U423-T423)</f>
        <v/>
      </c>
      <c r="W423" s="23" t="str">
        <f aca="false">IF(OR($A423="",N(T423)=0),"",V423/T423)</f>
        <v/>
      </c>
      <c r="X423" s="18"/>
      <c r="Y423" s="18"/>
    </row>
    <row r="424" customFormat="false" ht="15" hidden="false" customHeight="false" outlineLevel="0" collapsed="false">
      <c r="A424" s="18"/>
      <c r="B424" s="18"/>
      <c r="C424" s="18"/>
      <c r="D424" s="18"/>
      <c r="E424" s="18"/>
      <c r="F424" s="18"/>
      <c r="G424" s="18"/>
      <c r="H424" s="19"/>
      <c r="I424" s="18"/>
      <c r="J424" s="18"/>
      <c r="K424" s="20"/>
      <c r="L424" s="20"/>
      <c r="M424" s="20"/>
      <c r="N424" s="20"/>
      <c r="O424" s="21"/>
      <c r="P424" s="22" t="n">
        <f aca="false">IF(OR($A424="",N(K424)=0),0,CEILING(K424*(1+IF($O424="",Taux_Compta,$O424))-0.005,Pas_Arrondi))</f>
        <v>0</v>
      </c>
      <c r="Q424" s="22" t="n">
        <f aca="false">IF(OR($A424="",N(L424)=0),0,CEILING(L424*(1+IF($O424="",Taux_Paye,$O424))-0.005,Pas_Arrondi))</f>
        <v>0</v>
      </c>
      <c r="R424" s="22" t="n">
        <f aca="false">IF(OR($A424="",N(M424)=0),0,CEILING(M424*(1+IF($O424="",Taux_Jur,$O424))-0.005,Pas_Arrondi))</f>
        <v>0</v>
      </c>
      <c r="S424" s="22" t="n">
        <f aca="false">IF(OR($A424="",N(N424)=0),0,CEILING(N424*(1+IF($O424="",Taux_PA,$O424))-0.005,Pas_Arrondi))</f>
        <v>0</v>
      </c>
      <c r="T424" s="22" t="str">
        <f aca="false">IF($A424="","",SUM(K424:N424))</f>
        <v/>
      </c>
      <c r="U424" s="22" t="str">
        <f aca="false">IF($A424="","",SUM(P424:S424))</f>
        <v/>
      </c>
      <c r="V424" s="22" t="str">
        <f aca="false">IF($A424="","",U424-T424)</f>
        <v/>
      </c>
      <c r="W424" s="23" t="str">
        <f aca="false">IF(OR($A424="",N(T424)=0),"",V424/T424)</f>
        <v/>
      </c>
      <c r="X424" s="18"/>
      <c r="Y424" s="18"/>
    </row>
    <row r="425" customFormat="false" ht="15" hidden="false" customHeight="false" outlineLevel="0" collapsed="false">
      <c r="A425" s="18"/>
      <c r="B425" s="18"/>
      <c r="C425" s="18"/>
      <c r="D425" s="18"/>
      <c r="E425" s="18"/>
      <c r="F425" s="18"/>
      <c r="G425" s="18"/>
      <c r="H425" s="19"/>
      <c r="I425" s="18"/>
      <c r="J425" s="18"/>
      <c r="K425" s="20"/>
      <c r="L425" s="20"/>
      <c r="M425" s="20"/>
      <c r="N425" s="20"/>
      <c r="O425" s="21"/>
      <c r="P425" s="22" t="n">
        <f aca="false">IF(OR($A425="",N(K425)=0),0,CEILING(K425*(1+IF($O425="",Taux_Compta,$O425))-0.005,Pas_Arrondi))</f>
        <v>0</v>
      </c>
      <c r="Q425" s="22" t="n">
        <f aca="false">IF(OR($A425="",N(L425)=0),0,CEILING(L425*(1+IF($O425="",Taux_Paye,$O425))-0.005,Pas_Arrondi))</f>
        <v>0</v>
      </c>
      <c r="R425" s="22" t="n">
        <f aca="false">IF(OR($A425="",N(M425)=0),0,CEILING(M425*(1+IF($O425="",Taux_Jur,$O425))-0.005,Pas_Arrondi))</f>
        <v>0</v>
      </c>
      <c r="S425" s="22" t="n">
        <f aca="false">IF(OR($A425="",N(N425)=0),0,CEILING(N425*(1+IF($O425="",Taux_PA,$O425))-0.005,Pas_Arrondi))</f>
        <v>0</v>
      </c>
      <c r="T425" s="22" t="str">
        <f aca="false">IF($A425="","",SUM(K425:N425))</f>
        <v/>
      </c>
      <c r="U425" s="22" t="str">
        <f aca="false">IF($A425="","",SUM(P425:S425))</f>
        <v/>
      </c>
      <c r="V425" s="22" t="str">
        <f aca="false">IF($A425="","",U425-T425)</f>
        <v/>
      </c>
      <c r="W425" s="23" t="str">
        <f aca="false">IF(OR($A425="",N(T425)=0),"",V425/T425)</f>
        <v/>
      </c>
      <c r="X425" s="18"/>
      <c r="Y425" s="18"/>
    </row>
    <row r="426" customFormat="false" ht="15" hidden="false" customHeight="false" outlineLevel="0" collapsed="false">
      <c r="A426" s="18"/>
      <c r="B426" s="18"/>
      <c r="C426" s="18"/>
      <c r="D426" s="18"/>
      <c r="E426" s="18"/>
      <c r="F426" s="18"/>
      <c r="G426" s="18"/>
      <c r="H426" s="19"/>
      <c r="I426" s="18"/>
      <c r="J426" s="18"/>
      <c r="K426" s="20"/>
      <c r="L426" s="20"/>
      <c r="M426" s="20"/>
      <c r="N426" s="20"/>
      <c r="O426" s="21"/>
      <c r="P426" s="22" t="n">
        <f aca="false">IF(OR($A426="",N(K426)=0),0,CEILING(K426*(1+IF($O426="",Taux_Compta,$O426))-0.005,Pas_Arrondi))</f>
        <v>0</v>
      </c>
      <c r="Q426" s="22" t="n">
        <f aca="false">IF(OR($A426="",N(L426)=0),0,CEILING(L426*(1+IF($O426="",Taux_Paye,$O426))-0.005,Pas_Arrondi))</f>
        <v>0</v>
      </c>
      <c r="R426" s="22" t="n">
        <f aca="false">IF(OR($A426="",N(M426)=0),0,CEILING(M426*(1+IF($O426="",Taux_Jur,$O426))-0.005,Pas_Arrondi))</f>
        <v>0</v>
      </c>
      <c r="S426" s="22" t="n">
        <f aca="false">IF(OR($A426="",N(N426)=0),0,CEILING(N426*(1+IF($O426="",Taux_PA,$O426))-0.005,Pas_Arrondi))</f>
        <v>0</v>
      </c>
      <c r="T426" s="22" t="str">
        <f aca="false">IF($A426="","",SUM(K426:N426))</f>
        <v/>
      </c>
      <c r="U426" s="22" t="str">
        <f aca="false">IF($A426="","",SUM(P426:S426))</f>
        <v/>
      </c>
      <c r="V426" s="22" t="str">
        <f aca="false">IF($A426="","",U426-T426)</f>
        <v/>
      </c>
      <c r="W426" s="23" t="str">
        <f aca="false">IF(OR($A426="",N(T426)=0),"",V426/T426)</f>
        <v/>
      </c>
      <c r="X426" s="18"/>
      <c r="Y426" s="18"/>
    </row>
    <row r="427" customFormat="false" ht="15" hidden="false" customHeight="false" outlineLevel="0" collapsed="false">
      <c r="A427" s="18"/>
      <c r="B427" s="18"/>
      <c r="C427" s="18"/>
      <c r="D427" s="18"/>
      <c r="E427" s="18"/>
      <c r="F427" s="18"/>
      <c r="G427" s="18"/>
      <c r="H427" s="19"/>
      <c r="I427" s="18"/>
      <c r="J427" s="18"/>
      <c r="K427" s="20"/>
      <c r="L427" s="20"/>
      <c r="M427" s="20"/>
      <c r="N427" s="20"/>
      <c r="O427" s="21"/>
      <c r="P427" s="22" t="n">
        <f aca="false">IF(OR($A427="",N(K427)=0),0,CEILING(K427*(1+IF($O427="",Taux_Compta,$O427))-0.005,Pas_Arrondi))</f>
        <v>0</v>
      </c>
      <c r="Q427" s="22" t="n">
        <f aca="false">IF(OR($A427="",N(L427)=0),0,CEILING(L427*(1+IF($O427="",Taux_Paye,$O427))-0.005,Pas_Arrondi))</f>
        <v>0</v>
      </c>
      <c r="R427" s="22" t="n">
        <f aca="false">IF(OR($A427="",N(M427)=0),0,CEILING(M427*(1+IF($O427="",Taux_Jur,$O427))-0.005,Pas_Arrondi))</f>
        <v>0</v>
      </c>
      <c r="S427" s="22" t="n">
        <f aca="false">IF(OR($A427="",N(N427)=0),0,CEILING(N427*(1+IF($O427="",Taux_PA,$O427))-0.005,Pas_Arrondi))</f>
        <v>0</v>
      </c>
      <c r="T427" s="22" t="str">
        <f aca="false">IF($A427="","",SUM(K427:N427))</f>
        <v/>
      </c>
      <c r="U427" s="22" t="str">
        <f aca="false">IF($A427="","",SUM(P427:S427))</f>
        <v/>
      </c>
      <c r="V427" s="22" t="str">
        <f aca="false">IF($A427="","",U427-T427)</f>
        <v/>
      </c>
      <c r="W427" s="23" t="str">
        <f aca="false">IF(OR($A427="",N(T427)=0),"",V427/T427)</f>
        <v/>
      </c>
      <c r="X427" s="18"/>
      <c r="Y427" s="18"/>
    </row>
    <row r="428" customFormat="false" ht="15" hidden="false" customHeight="false" outlineLevel="0" collapsed="false">
      <c r="A428" s="18"/>
      <c r="B428" s="18"/>
      <c r="C428" s="18"/>
      <c r="D428" s="18"/>
      <c r="E428" s="18"/>
      <c r="F428" s="18"/>
      <c r="G428" s="18"/>
      <c r="H428" s="19"/>
      <c r="I428" s="18"/>
      <c r="J428" s="18"/>
      <c r="K428" s="20"/>
      <c r="L428" s="20"/>
      <c r="M428" s="20"/>
      <c r="N428" s="20"/>
      <c r="O428" s="21"/>
      <c r="P428" s="22" t="n">
        <f aca="false">IF(OR($A428="",N(K428)=0),0,CEILING(K428*(1+IF($O428="",Taux_Compta,$O428))-0.005,Pas_Arrondi))</f>
        <v>0</v>
      </c>
      <c r="Q428" s="22" t="n">
        <f aca="false">IF(OR($A428="",N(L428)=0),0,CEILING(L428*(1+IF($O428="",Taux_Paye,$O428))-0.005,Pas_Arrondi))</f>
        <v>0</v>
      </c>
      <c r="R428" s="22" t="n">
        <f aca="false">IF(OR($A428="",N(M428)=0),0,CEILING(M428*(1+IF($O428="",Taux_Jur,$O428))-0.005,Pas_Arrondi))</f>
        <v>0</v>
      </c>
      <c r="S428" s="22" t="n">
        <f aca="false">IF(OR($A428="",N(N428)=0),0,CEILING(N428*(1+IF($O428="",Taux_PA,$O428))-0.005,Pas_Arrondi))</f>
        <v>0</v>
      </c>
      <c r="T428" s="22" t="str">
        <f aca="false">IF($A428="","",SUM(K428:N428))</f>
        <v/>
      </c>
      <c r="U428" s="22" t="str">
        <f aca="false">IF($A428="","",SUM(P428:S428))</f>
        <v/>
      </c>
      <c r="V428" s="22" t="str">
        <f aca="false">IF($A428="","",U428-T428)</f>
        <v/>
      </c>
      <c r="W428" s="23" t="str">
        <f aca="false">IF(OR($A428="",N(T428)=0),"",V428/T428)</f>
        <v/>
      </c>
      <c r="X428" s="18"/>
      <c r="Y428" s="18"/>
    </row>
    <row r="429" customFormat="false" ht="15" hidden="false" customHeight="false" outlineLevel="0" collapsed="false">
      <c r="A429" s="18"/>
      <c r="B429" s="18"/>
      <c r="C429" s="18"/>
      <c r="D429" s="18"/>
      <c r="E429" s="18"/>
      <c r="F429" s="18"/>
      <c r="G429" s="18"/>
      <c r="H429" s="19"/>
      <c r="I429" s="18"/>
      <c r="J429" s="18"/>
      <c r="K429" s="20"/>
      <c r="L429" s="20"/>
      <c r="M429" s="20"/>
      <c r="N429" s="20"/>
      <c r="O429" s="21"/>
      <c r="P429" s="22" t="n">
        <f aca="false">IF(OR($A429="",N(K429)=0),0,CEILING(K429*(1+IF($O429="",Taux_Compta,$O429))-0.005,Pas_Arrondi))</f>
        <v>0</v>
      </c>
      <c r="Q429" s="22" t="n">
        <f aca="false">IF(OR($A429="",N(L429)=0),0,CEILING(L429*(1+IF($O429="",Taux_Paye,$O429))-0.005,Pas_Arrondi))</f>
        <v>0</v>
      </c>
      <c r="R429" s="22" t="n">
        <f aca="false">IF(OR($A429="",N(M429)=0),0,CEILING(M429*(1+IF($O429="",Taux_Jur,$O429))-0.005,Pas_Arrondi))</f>
        <v>0</v>
      </c>
      <c r="S429" s="22" t="n">
        <f aca="false">IF(OR($A429="",N(N429)=0),0,CEILING(N429*(1+IF($O429="",Taux_PA,$O429))-0.005,Pas_Arrondi))</f>
        <v>0</v>
      </c>
      <c r="T429" s="22" t="str">
        <f aca="false">IF($A429="","",SUM(K429:N429))</f>
        <v/>
      </c>
      <c r="U429" s="22" t="str">
        <f aca="false">IF($A429="","",SUM(P429:S429))</f>
        <v/>
      </c>
      <c r="V429" s="22" t="str">
        <f aca="false">IF($A429="","",U429-T429)</f>
        <v/>
      </c>
      <c r="W429" s="23" t="str">
        <f aca="false">IF(OR($A429="",N(T429)=0),"",V429/T429)</f>
        <v/>
      </c>
      <c r="X429" s="18"/>
      <c r="Y429" s="18"/>
    </row>
    <row r="430" customFormat="false" ht="15" hidden="false" customHeight="false" outlineLevel="0" collapsed="false">
      <c r="A430" s="18"/>
      <c r="B430" s="18"/>
      <c r="C430" s="18"/>
      <c r="D430" s="18"/>
      <c r="E430" s="18"/>
      <c r="F430" s="18"/>
      <c r="G430" s="18"/>
      <c r="H430" s="19"/>
      <c r="I430" s="18"/>
      <c r="J430" s="18"/>
      <c r="K430" s="20"/>
      <c r="L430" s="20"/>
      <c r="M430" s="20"/>
      <c r="N430" s="20"/>
      <c r="O430" s="21"/>
      <c r="P430" s="22" t="n">
        <f aca="false">IF(OR($A430="",N(K430)=0),0,CEILING(K430*(1+IF($O430="",Taux_Compta,$O430))-0.005,Pas_Arrondi))</f>
        <v>0</v>
      </c>
      <c r="Q430" s="22" t="n">
        <f aca="false">IF(OR($A430="",N(L430)=0),0,CEILING(L430*(1+IF($O430="",Taux_Paye,$O430))-0.005,Pas_Arrondi))</f>
        <v>0</v>
      </c>
      <c r="R430" s="22" t="n">
        <f aca="false">IF(OR($A430="",N(M430)=0),0,CEILING(M430*(1+IF($O430="",Taux_Jur,$O430))-0.005,Pas_Arrondi))</f>
        <v>0</v>
      </c>
      <c r="S430" s="22" t="n">
        <f aca="false">IF(OR($A430="",N(N430)=0),0,CEILING(N430*(1+IF($O430="",Taux_PA,$O430))-0.005,Pas_Arrondi))</f>
        <v>0</v>
      </c>
      <c r="T430" s="22" t="str">
        <f aca="false">IF($A430="","",SUM(K430:N430))</f>
        <v/>
      </c>
      <c r="U430" s="22" t="str">
        <f aca="false">IF($A430="","",SUM(P430:S430))</f>
        <v/>
      </c>
      <c r="V430" s="22" t="str">
        <f aca="false">IF($A430="","",U430-T430)</f>
        <v/>
      </c>
      <c r="W430" s="23" t="str">
        <f aca="false">IF(OR($A430="",N(T430)=0),"",V430/T430)</f>
        <v/>
      </c>
      <c r="X430" s="18"/>
      <c r="Y430" s="18"/>
    </row>
    <row r="431" customFormat="false" ht="15" hidden="false" customHeight="false" outlineLevel="0" collapsed="false">
      <c r="A431" s="18"/>
      <c r="B431" s="18"/>
      <c r="C431" s="18"/>
      <c r="D431" s="18"/>
      <c r="E431" s="18"/>
      <c r="F431" s="18"/>
      <c r="G431" s="18"/>
      <c r="H431" s="19"/>
      <c r="I431" s="18"/>
      <c r="J431" s="18"/>
      <c r="K431" s="20"/>
      <c r="L431" s="20"/>
      <c r="M431" s="20"/>
      <c r="N431" s="20"/>
      <c r="O431" s="21"/>
      <c r="P431" s="22" t="n">
        <f aca="false">IF(OR($A431="",N(K431)=0),0,CEILING(K431*(1+IF($O431="",Taux_Compta,$O431))-0.005,Pas_Arrondi))</f>
        <v>0</v>
      </c>
      <c r="Q431" s="22" t="n">
        <f aca="false">IF(OR($A431="",N(L431)=0),0,CEILING(L431*(1+IF($O431="",Taux_Paye,$O431))-0.005,Pas_Arrondi))</f>
        <v>0</v>
      </c>
      <c r="R431" s="22" t="n">
        <f aca="false">IF(OR($A431="",N(M431)=0),0,CEILING(M431*(1+IF($O431="",Taux_Jur,$O431))-0.005,Pas_Arrondi))</f>
        <v>0</v>
      </c>
      <c r="S431" s="22" t="n">
        <f aca="false">IF(OR($A431="",N(N431)=0),0,CEILING(N431*(1+IF($O431="",Taux_PA,$O431))-0.005,Pas_Arrondi))</f>
        <v>0</v>
      </c>
      <c r="T431" s="22" t="str">
        <f aca="false">IF($A431="","",SUM(K431:N431))</f>
        <v/>
      </c>
      <c r="U431" s="22" t="str">
        <f aca="false">IF($A431="","",SUM(P431:S431))</f>
        <v/>
      </c>
      <c r="V431" s="22" t="str">
        <f aca="false">IF($A431="","",U431-T431)</f>
        <v/>
      </c>
      <c r="W431" s="23" t="str">
        <f aca="false">IF(OR($A431="",N(T431)=0),"",V431/T431)</f>
        <v/>
      </c>
      <c r="X431" s="18"/>
      <c r="Y431" s="18"/>
    </row>
    <row r="432" customFormat="false" ht="15" hidden="false" customHeight="false" outlineLevel="0" collapsed="false">
      <c r="A432" s="18"/>
      <c r="B432" s="18"/>
      <c r="C432" s="18"/>
      <c r="D432" s="18"/>
      <c r="E432" s="18"/>
      <c r="F432" s="18"/>
      <c r="G432" s="18"/>
      <c r="H432" s="19"/>
      <c r="I432" s="18"/>
      <c r="J432" s="18"/>
      <c r="K432" s="20"/>
      <c r="L432" s="20"/>
      <c r="M432" s="20"/>
      <c r="N432" s="20"/>
      <c r="O432" s="21"/>
      <c r="P432" s="22" t="n">
        <f aca="false">IF(OR($A432="",N(K432)=0),0,CEILING(K432*(1+IF($O432="",Taux_Compta,$O432))-0.005,Pas_Arrondi))</f>
        <v>0</v>
      </c>
      <c r="Q432" s="22" t="n">
        <f aca="false">IF(OR($A432="",N(L432)=0),0,CEILING(L432*(1+IF($O432="",Taux_Paye,$O432))-0.005,Pas_Arrondi))</f>
        <v>0</v>
      </c>
      <c r="R432" s="22" t="n">
        <f aca="false">IF(OR($A432="",N(M432)=0),0,CEILING(M432*(1+IF($O432="",Taux_Jur,$O432))-0.005,Pas_Arrondi))</f>
        <v>0</v>
      </c>
      <c r="S432" s="22" t="n">
        <f aca="false">IF(OR($A432="",N(N432)=0),0,CEILING(N432*(1+IF($O432="",Taux_PA,$O432))-0.005,Pas_Arrondi))</f>
        <v>0</v>
      </c>
      <c r="T432" s="22" t="str">
        <f aca="false">IF($A432="","",SUM(K432:N432))</f>
        <v/>
      </c>
      <c r="U432" s="22" t="str">
        <f aca="false">IF($A432="","",SUM(P432:S432))</f>
        <v/>
      </c>
      <c r="V432" s="22" t="str">
        <f aca="false">IF($A432="","",U432-T432)</f>
        <v/>
      </c>
      <c r="W432" s="23" t="str">
        <f aca="false">IF(OR($A432="",N(T432)=0),"",V432/T432)</f>
        <v/>
      </c>
      <c r="X432" s="18"/>
      <c r="Y432" s="18"/>
    </row>
    <row r="433" customFormat="false" ht="15" hidden="false" customHeight="false" outlineLevel="0" collapsed="false">
      <c r="A433" s="18"/>
      <c r="B433" s="18"/>
      <c r="C433" s="18"/>
      <c r="D433" s="18"/>
      <c r="E433" s="18"/>
      <c r="F433" s="18"/>
      <c r="G433" s="18"/>
      <c r="H433" s="19"/>
      <c r="I433" s="18"/>
      <c r="J433" s="18"/>
      <c r="K433" s="20"/>
      <c r="L433" s="20"/>
      <c r="M433" s="20"/>
      <c r="N433" s="20"/>
      <c r="O433" s="21"/>
      <c r="P433" s="22" t="n">
        <f aca="false">IF(OR($A433="",N(K433)=0),0,CEILING(K433*(1+IF($O433="",Taux_Compta,$O433))-0.005,Pas_Arrondi))</f>
        <v>0</v>
      </c>
      <c r="Q433" s="22" t="n">
        <f aca="false">IF(OR($A433="",N(L433)=0),0,CEILING(L433*(1+IF($O433="",Taux_Paye,$O433))-0.005,Pas_Arrondi))</f>
        <v>0</v>
      </c>
      <c r="R433" s="22" t="n">
        <f aca="false">IF(OR($A433="",N(M433)=0),0,CEILING(M433*(1+IF($O433="",Taux_Jur,$O433))-0.005,Pas_Arrondi))</f>
        <v>0</v>
      </c>
      <c r="S433" s="22" t="n">
        <f aca="false">IF(OR($A433="",N(N433)=0),0,CEILING(N433*(1+IF($O433="",Taux_PA,$O433))-0.005,Pas_Arrondi))</f>
        <v>0</v>
      </c>
      <c r="T433" s="22" t="str">
        <f aca="false">IF($A433="","",SUM(K433:N433))</f>
        <v/>
      </c>
      <c r="U433" s="22" t="str">
        <f aca="false">IF($A433="","",SUM(P433:S433))</f>
        <v/>
      </c>
      <c r="V433" s="22" t="str">
        <f aca="false">IF($A433="","",U433-T433)</f>
        <v/>
      </c>
      <c r="W433" s="23" t="str">
        <f aca="false">IF(OR($A433="",N(T433)=0),"",V433/T433)</f>
        <v/>
      </c>
      <c r="X433" s="18"/>
      <c r="Y433" s="18"/>
    </row>
    <row r="434" customFormat="false" ht="15" hidden="false" customHeight="false" outlineLevel="0" collapsed="false">
      <c r="A434" s="18"/>
      <c r="B434" s="18"/>
      <c r="C434" s="18"/>
      <c r="D434" s="18"/>
      <c r="E434" s="18"/>
      <c r="F434" s="18"/>
      <c r="G434" s="18"/>
      <c r="H434" s="19"/>
      <c r="I434" s="18"/>
      <c r="J434" s="18"/>
      <c r="K434" s="20"/>
      <c r="L434" s="20"/>
      <c r="M434" s="20"/>
      <c r="N434" s="20"/>
      <c r="O434" s="21"/>
      <c r="P434" s="22" t="n">
        <f aca="false">IF(OR($A434="",N(K434)=0),0,CEILING(K434*(1+IF($O434="",Taux_Compta,$O434))-0.005,Pas_Arrondi))</f>
        <v>0</v>
      </c>
      <c r="Q434" s="22" t="n">
        <f aca="false">IF(OR($A434="",N(L434)=0),0,CEILING(L434*(1+IF($O434="",Taux_Paye,$O434))-0.005,Pas_Arrondi))</f>
        <v>0</v>
      </c>
      <c r="R434" s="22" t="n">
        <f aca="false">IF(OR($A434="",N(M434)=0),0,CEILING(M434*(1+IF($O434="",Taux_Jur,$O434))-0.005,Pas_Arrondi))</f>
        <v>0</v>
      </c>
      <c r="S434" s="22" t="n">
        <f aca="false">IF(OR($A434="",N(N434)=0),0,CEILING(N434*(1+IF($O434="",Taux_PA,$O434))-0.005,Pas_Arrondi))</f>
        <v>0</v>
      </c>
      <c r="T434" s="22" t="str">
        <f aca="false">IF($A434="","",SUM(K434:N434))</f>
        <v/>
      </c>
      <c r="U434" s="22" t="str">
        <f aca="false">IF($A434="","",SUM(P434:S434))</f>
        <v/>
      </c>
      <c r="V434" s="22" t="str">
        <f aca="false">IF($A434="","",U434-T434)</f>
        <v/>
      </c>
      <c r="W434" s="23" t="str">
        <f aca="false">IF(OR($A434="",N(T434)=0),"",V434/T434)</f>
        <v/>
      </c>
      <c r="X434" s="18"/>
      <c r="Y434" s="18"/>
    </row>
    <row r="435" customFormat="false" ht="15" hidden="false" customHeight="false" outlineLevel="0" collapsed="false">
      <c r="A435" s="18"/>
      <c r="B435" s="18"/>
      <c r="C435" s="18"/>
      <c r="D435" s="18"/>
      <c r="E435" s="18"/>
      <c r="F435" s="18"/>
      <c r="G435" s="18"/>
      <c r="H435" s="19"/>
      <c r="I435" s="18"/>
      <c r="J435" s="18"/>
      <c r="K435" s="20"/>
      <c r="L435" s="20"/>
      <c r="M435" s="20"/>
      <c r="N435" s="20"/>
      <c r="O435" s="21"/>
      <c r="P435" s="22" t="n">
        <f aca="false">IF(OR($A435="",N(K435)=0),0,CEILING(K435*(1+IF($O435="",Taux_Compta,$O435))-0.005,Pas_Arrondi))</f>
        <v>0</v>
      </c>
      <c r="Q435" s="22" t="n">
        <f aca="false">IF(OR($A435="",N(L435)=0),0,CEILING(L435*(1+IF($O435="",Taux_Paye,$O435))-0.005,Pas_Arrondi))</f>
        <v>0</v>
      </c>
      <c r="R435" s="22" t="n">
        <f aca="false">IF(OR($A435="",N(M435)=0),0,CEILING(M435*(1+IF($O435="",Taux_Jur,$O435))-0.005,Pas_Arrondi))</f>
        <v>0</v>
      </c>
      <c r="S435" s="22" t="n">
        <f aca="false">IF(OR($A435="",N(N435)=0),0,CEILING(N435*(1+IF($O435="",Taux_PA,$O435))-0.005,Pas_Arrondi))</f>
        <v>0</v>
      </c>
      <c r="T435" s="22" t="str">
        <f aca="false">IF($A435="","",SUM(K435:N435))</f>
        <v/>
      </c>
      <c r="U435" s="22" t="str">
        <f aca="false">IF($A435="","",SUM(P435:S435))</f>
        <v/>
      </c>
      <c r="V435" s="22" t="str">
        <f aca="false">IF($A435="","",U435-T435)</f>
        <v/>
      </c>
      <c r="W435" s="23" t="str">
        <f aca="false">IF(OR($A435="",N(T435)=0),"",V435/T435)</f>
        <v/>
      </c>
      <c r="X435" s="18"/>
      <c r="Y435" s="18"/>
    </row>
    <row r="436" customFormat="false" ht="15" hidden="false" customHeight="false" outlineLevel="0" collapsed="false">
      <c r="A436" s="18"/>
      <c r="B436" s="18"/>
      <c r="C436" s="18"/>
      <c r="D436" s="18"/>
      <c r="E436" s="18"/>
      <c r="F436" s="18"/>
      <c r="G436" s="18"/>
      <c r="H436" s="19"/>
      <c r="I436" s="18"/>
      <c r="J436" s="18"/>
      <c r="K436" s="20"/>
      <c r="L436" s="20"/>
      <c r="M436" s="20"/>
      <c r="N436" s="20"/>
      <c r="O436" s="21"/>
      <c r="P436" s="22" t="n">
        <f aca="false">IF(OR($A436="",N(K436)=0),0,CEILING(K436*(1+IF($O436="",Taux_Compta,$O436))-0.005,Pas_Arrondi))</f>
        <v>0</v>
      </c>
      <c r="Q436" s="22" t="n">
        <f aca="false">IF(OR($A436="",N(L436)=0),0,CEILING(L436*(1+IF($O436="",Taux_Paye,$O436))-0.005,Pas_Arrondi))</f>
        <v>0</v>
      </c>
      <c r="R436" s="22" t="n">
        <f aca="false">IF(OR($A436="",N(M436)=0),0,CEILING(M436*(1+IF($O436="",Taux_Jur,$O436))-0.005,Pas_Arrondi))</f>
        <v>0</v>
      </c>
      <c r="S436" s="22" t="n">
        <f aca="false">IF(OR($A436="",N(N436)=0),0,CEILING(N436*(1+IF($O436="",Taux_PA,$O436))-0.005,Pas_Arrondi))</f>
        <v>0</v>
      </c>
      <c r="T436" s="22" t="str">
        <f aca="false">IF($A436="","",SUM(K436:N436))</f>
        <v/>
      </c>
      <c r="U436" s="22" t="str">
        <f aca="false">IF($A436="","",SUM(P436:S436))</f>
        <v/>
      </c>
      <c r="V436" s="22" t="str">
        <f aca="false">IF($A436="","",U436-T436)</f>
        <v/>
      </c>
      <c r="W436" s="23" t="str">
        <f aca="false">IF(OR($A436="",N(T436)=0),"",V436/T436)</f>
        <v/>
      </c>
      <c r="X436" s="18"/>
      <c r="Y436" s="18"/>
    </row>
    <row r="437" customFormat="false" ht="15" hidden="false" customHeight="false" outlineLevel="0" collapsed="false">
      <c r="A437" s="18"/>
      <c r="B437" s="18"/>
      <c r="C437" s="18"/>
      <c r="D437" s="18"/>
      <c r="E437" s="18"/>
      <c r="F437" s="18"/>
      <c r="G437" s="18"/>
      <c r="H437" s="19"/>
      <c r="I437" s="18"/>
      <c r="J437" s="18"/>
      <c r="K437" s="20"/>
      <c r="L437" s="20"/>
      <c r="M437" s="20"/>
      <c r="N437" s="20"/>
      <c r="O437" s="21"/>
      <c r="P437" s="22" t="n">
        <f aca="false">IF(OR($A437="",N(K437)=0),0,CEILING(K437*(1+IF($O437="",Taux_Compta,$O437))-0.005,Pas_Arrondi))</f>
        <v>0</v>
      </c>
      <c r="Q437" s="22" t="n">
        <f aca="false">IF(OR($A437="",N(L437)=0),0,CEILING(L437*(1+IF($O437="",Taux_Paye,$O437))-0.005,Pas_Arrondi))</f>
        <v>0</v>
      </c>
      <c r="R437" s="22" t="n">
        <f aca="false">IF(OR($A437="",N(M437)=0),0,CEILING(M437*(1+IF($O437="",Taux_Jur,$O437))-0.005,Pas_Arrondi))</f>
        <v>0</v>
      </c>
      <c r="S437" s="22" t="n">
        <f aca="false">IF(OR($A437="",N(N437)=0),0,CEILING(N437*(1+IF($O437="",Taux_PA,$O437))-0.005,Pas_Arrondi))</f>
        <v>0</v>
      </c>
      <c r="T437" s="22" t="str">
        <f aca="false">IF($A437="","",SUM(K437:N437))</f>
        <v/>
      </c>
      <c r="U437" s="22" t="str">
        <f aca="false">IF($A437="","",SUM(P437:S437))</f>
        <v/>
      </c>
      <c r="V437" s="22" t="str">
        <f aca="false">IF($A437="","",U437-T437)</f>
        <v/>
      </c>
      <c r="W437" s="23" t="str">
        <f aca="false">IF(OR($A437="",N(T437)=0),"",V437/T437)</f>
        <v/>
      </c>
      <c r="X437" s="18"/>
      <c r="Y437" s="18"/>
    </row>
    <row r="438" customFormat="false" ht="15" hidden="false" customHeight="false" outlineLevel="0" collapsed="false">
      <c r="A438" s="18"/>
      <c r="B438" s="18"/>
      <c r="C438" s="18"/>
      <c r="D438" s="18"/>
      <c r="E438" s="18"/>
      <c r="F438" s="18"/>
      <c r="G438" s="18"/>
      <c r="H438" s="19"/>
      <c r="I438" s="18"/>
      <c r="J438" s="18"/>
      <c r="K438" s="20"/>
      <c r="L438" s="20"/>
      <c r="M438" s="20"/>
      <c r="N438" s="20"/>
      <c r="O438" s="21"/>
      <c r="P438" s="22" t="n">
        <f aca="false">IF(OR($A438="",N(K438)=0),0,CEILING(K438*(1+IF($O438="",Taux_Compta,$O438))-0.005,Pas_Arrondi))</f>
        <v>0</v>
      </c>
      <c r="Q438" s="22" t="n">
        <f aca="false">IF(OR($A438="",N(L438)=0),0,CEILING(L438*(1+IF($O438="",Taux_Paye,$O438))-0.005,Pas_Arrondi))</f>
        <v>0</v>
      </c>
      <c r="R438" s="22" t="n">
        <f aca="false">IF(OR($A438="",N(M438)=0),0,CEILING(M438*(1+IF($O438="",Taux_Jur,$O438))-0.005,Pas_Arrondi))</f>
        <v>0</v>
      </c>
      <c r="S438" s="22" t="n">
        <f aca="false">IF(OR($A438="",N(N438)=0),0,CEILING(N438*(1+IF($O438="",Taux_PA,$O438))-0.005,Pas_Arrondi))</f>
        <v>0</v>
      </c>
      <c r="T438" s="22" t="str">
        <f aca="false">IF($A438="","",SUM(K438:N438))</f>
        <v/>
      </c>
      <c r="U438" s="22" t="str">
        <f aca="false">IF($A438="","",SUM(P438:S438))</f>
        <v/>
      </c>
      <c r="V438" s="22" t="str">
        <f aca="false">IF($A438="","",U438-T438)</f>
        <v/>
      </c>
      <c r="W438" s="23" t="str">
        <f aca="false">IF(OR($A438="",N(T438)=0),"",V438/T438)</f>
        <v/>
      </c>
      <c r="X438" s="18"/>
      <c r="Y438" s="18"/>
    </row>
    <row r="439" customFormat="false" ht="15" hidden="false" customHeight="false" outlineLevel="0" collapsed="false">
      <c r="A439" s="18"/>
      <c r="B439" s="18"/>
      <c r="C439" s="18"/>
      <c r="D439" s="18"/>
      <c r="E439" s="18"/>
      <c r="F439" s="18"/>
      <c r="G439" s="18"/>
      <c r="H439" s="19"/>
      <c r="I439" s="18"/>
      <c r="J439" s="18"/>
      <c r="K439" s="20"/>
      <c r="L439" s="20"/>
      <c r="M439" s="20"/>
      <c r="N439" s="20"/>
      <c r="O439" s="21"/>
      <c r="P439" s="22" t="n">
        <f aca="false">IF(OR($A439="",N(K439)=0),0,CEILING(K439*(1+IF($O439="",Taux_Compta,$O439))-0.005,Pas_Arrondi))</f>
        <v>0</v>
      </c>
      <c r="Q439" s="22" t="n">
        <f aca="false">IF(OR($A439="",N(L439)=0),0,CEILING(L439*(1+IF($O439="",Taux_Paye,$O439))-0.005,Pas_Arrondi))</f>
        <v>0</v>
      </c>
      <c r="R439" s="22" t="n">
        <f aca="false">IF(OR($A439="",N(M439)=0),0,CEILING(M439*(1+IF($O439="",Taux_Jur,$O439))-0.005,Pas_Arrondi))</f>
        <v>0</v>
      </c>
      <c r="S439" s="22" t="n">
        <f aca="false">IF(OR($A439="",N(N439)=0),0,CEILING(N439*(1+IF($O439="",Taux_PA,$O439))-0.005,Pas_Arrondi))</f>
        <v>0</v>
      </c>
      <c r="T439" s="22" t="str">
        <f aca="false">IF($A439="","",SUM(K439:N439))</f>
        <v/>
      </c>
      <c r="U439" s="22" t="str">
        <f aca="false">IF($A439="","",SUM(P439:S439))</f>
        <v/>
      </c>
      <c r="V439" s="22" t="str">
        <f aca="false">IF($A439="","",U439-T439)</f>
        <v/>
      </c>
      <c r="W439" s="23" t="str">
        <f aca="false">IF(OR($A439="",N(T439)=0),"",V439/T439)</f>
        <v/>
      </c>
      <c r="X439" s="18"/>
      <c r="Y439" s="18"/>
    </row>
    <row r="440" customFormat="false" ht="15" hidden="false" customHeight="false" outlineLevel="0" collapsed="false">
      <c r="A440" s="18"/>
      <c r="B440" s="18"/>
      <c r="C440" s="18"/>
      <c r="D440" s="18"/>
      <c r="E440" s="18"/>
      <c r="F440" s="18"/>
      <c r="G440" s="18"/>
      <c r="H440" s="19"/>
      <c r="I440" s="18"/>
      <c r="J440" s="18"/>
      <c r="K440" s="20"/>
      <c r="L440" s="20"/>
      <c r="M440" s="20"/>
      <c r="N440" s="20"/>
      <c r="O440" s="21"/>
      <c r="P440" s="22" t="n">
        <f aca="false">IF(OR($A440="",N(K440)=0),0,CEILING(K440*(1+IF($O440="",Taux_Compta,$O440))-0.005,Pas_Arrondi))</f>
        <v>0</v>
      </c>
      <c r="Q440" s="22" t="n">
        <f aca="false">IF(OR($A440="",N(L440)=0),0,CEILING(L440*(1+IF($O440="",Taux_Paye,$O440))-0.005,Pas_Arrondi))</f>
        <v>0</v>
      </c>
      <c r="R440" s="22" t="n">
        <f aca="false">IF(OR($A440="",N(M440)=0),0,CEILING(M440*(1+IF($O440="",Taux_Jur,$O440))-0.005,Pas_Arrondi))</f>
        <v>0</v>
      </c>
      <c r="S440" s="22" t="n">
        <f aca="false">IF(OR($A440="",N(N440)=0),0,CEILING(N440*(1+IF($O440="",Taux_PA,$O440))-0.005,Pas_Arrondi))</f>
        <v>0</v>
      </c>
      <c r="T440" s="22" t="str">
        <f aca="false">IF($A440="","",SUM(K440:N440))</f>
        <v/>
      </c>
      <c r="U440" s="22" t="str">
        <f aca="false">IF($A440="","",SUM(P440:S440))</f>
        <v/>
      </c>
      <c r="V440" s="22" t="str">
        <f aca="false">IF($A440="","",U440-T440)</f>
        <v/>
      </c>
      <c r="W440" s="23" t="str">
        <f aca="false">IF(OR($A440="",N(T440)=0),"",V440/T440)</f>
        <v/>
      </c>
      <c r="X440" s="18"/>
      <c r="Y440" s="18"/>
    </row>
    <row r="441" customFormat="false" ht="15" hidden="false" customHeight="false" outlineLevel="0" collapsed="false">
      <c r="A441" s="18"/>
      <c r="B441" s="18"/>
      <c r="C441" s="18"/>
      <c r="D441" s="18"/>
      <c r="E441" s="18"/>
      <c r="F441" s="18"/>
      <c r="G441" s="18"/>
      <c r="H441" s="19"/>
      <c r="I441" s="18"/>
      <c r="J441" s="18"/>
      <c r="K441" s="20"/>
      <c r="L441" s="20"/>
      <c r="M441" s="20"/>
      <c r="N441" s="20"/>
      <c r="O441" s="21"/>
      <c r="P441" s="22" t="n">
        <f aca="false">IF(OR($A441="",N(K441)=0),0,CEILING(K441*(1+IF($O441="",Taux_Compta,$O441))-0.005,Pas_Arrondi))</f>
        <v>0</v>
      </c>
      <c r="Q441" s="22" t="n">
        <f aca="false">IF(OR($A441="",N(L441)=0),0,CEILING(L441*(1+IF($O441="",Taux_Paye,$O441))-0.005,Pas_Arrondi))</f>
        <v>0</v>
      </c>
      <c r="R441" s="22" t="n">
        <f aca="false">IF(OR($A441="",N(M441)=0),0,CEILING(M441*(1+IF($O441="",Taux_Jur,$O441))-0.005,Pas_Arrondi))</f>
        <v>0</v>
      </c>
      <c r="S441" s="22" t="n">
        <f aca="false">IF(OR($A441="",N(N441)=0),0,CEILING(N441*(1+IF($O441="",Taux_PA,$O441))-0.005,Pas_Arrondi))</f>
        <v>0</v>
      </c>
      <c r="T441" s="22" t="str">
        <f aca="false">IF($A441="","",SUM(K441:N441))</f>
        <v/>
      </c>
      <c r="U441" s="22" t="str">
        <f aca="false">IF($A441="","",SUM(P441:S441))</f>
        <v/>
      </c>
      <c r="V441" s="22" t="str">
        <f aca="false">IF($A441="","",U441-T441)</f>
        <v/>
      </c>
      <c r="W441" s="23" t="str">
        <f aca="false">IF(OR($A441="",N(T441)=0),"",V441/T441)</f>
        <v/>
      </c>
      <c r="X441" s="18"/>
      <c r="Y441" s="18"/>
    </row>
    <row r="442" customFormat="false" ht="15" hidden="false" customHeight="false" outlineLevel="0" collapsed="false">
      <c r="A442" s="18"/>
      <c r="B442" s="18"/>
      <c r="C442" s="18"/>
      <c r="D442" s="18"/>
      <c r="E442" s="18"/>
      <c r="F442" s="18"/>
      <c r="G442" s="18"/>
      <c r="H442" s="19"/>
      <c r="I442" s="18"/>
      <c r="J442" s="18"/>
      <c r="K442" s="20"/>
      <c r="L442" s="20"/>
      <c r="M442" s="20"/>
      <c r="N442" s="20"/>
      <c r="O442" s="21"/>
      <c r="P442" s="22" t="n">
        <f aca="false">IF(OR($A442="",N(K442)=0),0,CEILING(K442*(1+IF($O442="",Taux_Compta,$O442))-0.005,Pas_Arrondi))</f>
        <v>0</v>
      </c>
      <c r="Q442" s="22" t="n">
        <f aca="false">IF(OR($A442="",N(L442)=0),0,CEILING(L442*(1+IF($O442="",Taux_Paye,$O442))-0.005,Pas_Arrondi))</f>
        <v>0</v>
      </c>
      <c r="R442" s="22" t="n">
        <f aca="false">IF(OR($A442="",N(M442)=0),0,CEILING(M442*(1+IF($O442="",Taux_Jur,$O442))-0.005,Pas_Arrondi))</f>
        <v>0</v>
      </c>
      <c r="S442" s="22" t="n">
        <f aca="false">IF(OR($A442="",N(N442)=0),0,CEILING(N442*(1+IF($O442="",Taux_PA,$O442))-0.005,Pas_Arrondi))</f>
        <v>0</v>
      </c>
      <c r="T442" s="22" t="str">
        <f aca="false">IF($A442="","",SUM(K442:N442))</f>
        <v/>
      </c>
      <c r="U442" s="22" t="str">
        <f aca="false">IF($A442="","",SUM(P442:S442))</f>
        <v/>
      </c>
      <c r="V442" s="22" t="str">
        <f aca="false">IF($A442="","",U442-T442)</f>
        <v/>
      </c>
      <c r="W442" s="23" t="str">
        <f aca="false">IF(OR($A442="",N(T442)=0),"",V442/T442)</f>
        <v/>
      </c>
      <c r="X442" s="18"/>
      <c r="Y442" s="18"/>
    </row>
    <row r="443" customFormat="false" ht="15" hidden="false" customHeight="false" outlineLevel="0" collapsed="false">
      <c r="A443" s="18"/>
      <c r="B443" s="18"/>
      <c r="C443" s="18"/>
      <c r="D443" s="18"/>
      <c r="E443" s="18"/>
      <c r="F443" s="18"/>
      <c r="G443" s="18"/>
      <c r="H443" s="19"/>
      <c r="I443" s="18"/>
      <c r="J443" s="18"/>
      <c r="K443" s="20"/>
      <c r="L443" s="20"/>
      <c r="M443" s="20"/>
      <c r="N443" s="20"/>
      <c r="O443" s="21"/>
      <c r="P443" s="22" t="n">
        <f aca="false">IF(OR($A443="",N(K443)=0),0,CEILING(K443*(1+IF($O443="",Taux_Compta,$O443))-0.005,Pas_Arrondi))</f>
        <v>0</v>
      </c>
      <c r="Q443" s="22" t="n">
        <f aca="false">IF(OR($A443="",N(L443)=0),0,CEILING(L443*(1+IF($O443="",Taux_Paye,$O443))-0.005,Pas_Arrondi))</f>
        <v>0</v>
      </c>
      <c r="R443" s="22" t="n">
        <f aca="false">IF(OR($A443="",N(M443)=0),0,CEILING(M443*(1+IF($O443="",Taux_Jur,$O443))-0.005,Pas_Arrondi))</f>
        <v>0</v>
      </c>
      <c r="S443" s="22" t="n">
        <f aca="false">IF(OR($A443="",N(N443)=0),0,CEILING(N443*(1+IF($O443="",Taux_PA,$O443))-0.005,Pas_Arrondi))</f>
        <v>0</v>
      </c>
      <c r="T443" s="22" t="str">
        <f aca="false">IF($A443="","",SUM(K443:N443))</f>
        <v/>
      </c>
      <c r="U443" s="22" t="str">
        <f aca="false">IF($A443="","",SUM(P443:S443))</f>
        <v/>
      </c>
      <c r="V443" s="22" t="str">
        <f aca="false">IF($A443="","",U443-T443)</f>
        <v/>
      </c>
      <c r="W443" s="23" t="str">
        <f aca="false">IF(OR($A443="",N(T443)=0),"",V443/T443)</f>
        <v/>
      </c>
      <c r="X443" s="18"/>
      <c r="Y443" s="18"/>
    </row>
    <row r="444" customFormat="false" ht="15" hidden="false" customHeight="false" outlineLevel="0" collapsed="false">
      <c r="A444" s="18"/>
      <c r="B444" s="18"/>
      <c r="C444" s="18"/>
      <c r="D444" s="18"/>
      <c r="E444" s="18"/>
      <c r="F444" s="18"/>
      <c r="G444" s="18"/>
      <c r="H444" s="19"/>
      <c r="I444" s="18"/>
      <c r="J444" s="18"/>
      <c r="K444" s="20"/>
      <c r="L444" s="20"/>
      <c r="M444" s="20"/>
      <c r="N444" s="20"/>
      <c r="O444" s="21"/>
      <c r="P444" s="22" t="n">
        <f aca="false">IF(OR($A444="",N(K444)=0),0,CEILING(K444*(1+IF($O444="",Taux_Compta,$O444))-0.005,Pas_Arrondi))</f>
        <v>0</v>
      </c>
      <c r="Q444" s="22" t="n">
        <f aca="false">IF(OR($A444="",N(L444)=0),0,CEILING(L444*(1+IF($O444="",Taux_Paye,$O444))-0.005,Pas_Arrondi))</f>
        <v>0</v>
      </c>
      <c r="R444" s="22" t="n">
        <f aca="false">IF(OR($A444="",N(M444)=0),0,CEILING(M444*(1+IF($O444="",Taux_Jur,$O444))-0.005,Pas_Arrondi))</f>
        <v>0</v>
      </c>
      <c r="S444" s="22" t="n">
        <f aca="false">IF(OR($A444="",N(N444)=0),0,CEILING(N444*(1+IF($O444="",Taux_PA,$O444))-0.005,Pas_Arrondi))</f>
        <v>0</v>
      </c>
      <c r="T444" s="22" t="str">
        <f aca="false">IF($A444="","",SUM(K444:N444))</f>
        <v/>
      </c>
      <c r="U444" s="22" t="str">
        <f aca="false">IF($A444="","",SUM(P444:S444))</f>
        <v/>
      </c>
      <c r="V444" s="22" t="str">
        <f aca="false">IF($A444="","",U444-T444)</f>
        <v/>
      </c>
      <c r="W444" s="23" t="str">
        <f aca="false">IF(OR($A444="",N(T444)=0),"",V444/T444)</f>
        <v/>
      </c>
      <c r="X444" s="18"/>
      <c r="Y444" s="18"/>
    </row>
    <row r="445" customFormat="false" ht="15" hidden="false" customHeight="false" outlineLevel="0" collapsed="false">
      <c r="A445" s="18"/>
      <c r="B445" s="18"/>
      <c r="C445" s="18"/>
      <c r="D445" s="18"/>
      <c r="E445" s="18"/>
      <c r="F445" s="18"/>
      <c r="G445" s="18"/>
      <c r="H445" s="19"/>
      <c r="I445" s="18"/>
      <c r="J445" s="18"/>
      <c r="K445" s="20"/>
      <c r="L445" s="20"/>
      <c r="M445" s="20"/>
      <c r="N445" s="20"/>
      <c r="O445" s="21"/>
      <c r="P445" s="22" t="n">
        <f aca="false">IF(OR($A445="",N(K445)=0),0,CEILING(K445*(1+IF($O445="",Taux_Compta,$O445))-0.005,Pas_Arrondi))</f>
        <v>0</v>
      </c>
      <c r="Q445" s="22" t="n">
        <f aca="false">IF(OR($A445="",N(L445)=0),0,CEILING(L445*(1+IF($O445="",Taux_Paye,$O445))-0.005,Pas_Arrondi))</f>
        <v>0</v>
      </c>
      <c r="R445" s="22" t="n">
        <f aca="false">IF(OR($A445="",N(M445)=0),0,CEILING(M445*(1+IF($O445="",Taux_Jur,$O445))-0.005,Pas_Arrondi))</f>
        <v>0</v>
      </c>
      <c r="S445" s="22" t="n">
        <f aca="false">IF(OR($A445="",N(N445)=0),0,CEILING(N445*(1+IF($O445="",Taux_PA,$O445))-0.005,Pas_Arrondi))</f>
        <v>0</v>
      </c>
      <c r="T445" s="22" t="str">
        <f aca="false">IF($A445="","",SUM(K445:N445))</f>
        <v/>
      </c>
      <c r="U445" s="22" t="str">
        <f aca="false">IF($A445="","",SUM(P445:S445))</f>
        <v/>
      </c>
      <c r="V445" s="22" t="str">
        <f aca="false">IF($A445="","",U445-T445)</f>
        <v/>
      </c>
      <c r="W445" s="23" t="str">
        <f aca="false">IF(OR($A445="",N(T445)=0),"",V445/T445)</f>
        <v/>
      </c>
      <c r="X445" s="18"/>
      <c r="Y445" s="18"/>
    </row>
    <row r="446" customFormat="false" ht="15" hidden="false" customHeight="false" outlineLevel="0" collapsed="false">
      <c r="A446" s="18"/>
      <c r="B446" s="18"/>
      <c r="C446" s="18"/>
      <c r="D446" s="18"/>
      <c r="E446" s="18"/>
      <c r="F446" s="18"/>
      <c r="G446" s="18"/>
      <c r="H446" s="19"/>
      <c r="I446" s="18"/>
      <c r="J446" s="18"/>
      <c r="K446" s="20"/>
      <c r="L446" s="20"/>
      <c r="M446" s="20"/>
      <c r="N446" s="20"/>
      <c r="O446" s="21"/>
      <c r="P446" s="22" t="n">
        <f aca="false">IF(OR($A446="",N(K446)=0),0,CEILING(K446*(1+IF($O446="",Taux_Compta,$O446))-0.005,Pas_Arrondi))</f>
        <v>0</v>
      </c>
      <c r="Q446" s="22" t="n">
        <f aca="false">IF(OR($A446="",N(L446)=0),0,CEILING(L446*(1+IF($O446="",Taux_Paye,$O446))-0.005,Pas_Arrondi))</f>
        <v>0</v>
      </c>
      <c r="R446" s="22" t="n">
        <f aca="false">IF(OR($A446="",N(M446)=0),0,CEILING(M446*(1+IF($O446="",Taux_Jur,$O446))-0.005,Pas_Arrondi))</f>
        <v>0</v>
      </c>
      <c r="S446" s="22" t="n">
        <f aca="false">IF(OR($A446="",N(N446)=0),0,CEILING(N446*(1+IF($O446="",Taux_PA,$O446))-0.005,Pas_Arrondi))</f>
        <v>0</v>
      </c>
      <c r="T446" s="22" t="str">
        <f aca="false">IF($A446="","",SUM(K446:N446))</f>
        <v/>
      </c>
      <c r="U446" s="22" t="str">
        <f aca="false">IF($A446="","",SUM(P446:S446))</f>
        <v/>
      </c>
      <c r="V446" s="22" t="str">
        <f aca="false">IF($A446="","",U446-T446)</f>
        <v/>
      </c>
      <c r="W446" s="23" t="str">
        <f aca="false">IF(OR($A446="",N(T446)=0),"",V446/T446)</f>
        <v/>
      </c>
      <c r="X446" s="18"/>
      <c r="Y446" s="18"/>
    </row>
    <row r="447" customFormat="false" ht="15" hidden="false" customHeight="false" outlineLevel="0" collapsed="false">
      <c r="A447" s="18"/>
      <c r="B447" s="18"/>
      <c r="C447" s="18"/>
      <c r="D447" s="18"/>
      <c r="E447" s="18"/>
      <c r="F447" s="18"/>
      <c r="G447" s="18"/>
      <c r="H447" s="19"/>
      <c r="I447" s="18"/>
      <c r="J447" s="18"/>
      <c r="K447" s="20"/>
      <c r="L447" s="20"/>
      <c r="M447" s="20"/>
      <c r="N447" s="20"/>
      <c r="O447" s="21"/>
      <c r="P447" s="22" t="n">
        <f aca="false">IF(OR($A447="",N(K447)=0),0,CEILING(K447*(1+IF($O447="",Taux_Compta,$O447))-0.005,Pas_Arrondi))</f>
        <v>0</v>
      </c>
      <c r="Q447" s="22" t="n">
        <f aca="false">IF(OR($A447="",N(L447)=0),0,CEILING(L447*(1+IF($O447="",Taux_Paye,$O447))-0.005,Pas_Arrondi))</f>
        <v>0</v>
      </c>
      <c r="R447" s="22" t="n">
        <f aca="false">IF(OR($A447="",N(M447)=0),0,CEILING(M447*(1+IF($O447="",Taux_Jur,$O447))-0.005,Pas_Arrondi))</f>
        <v>0</v>
      </c>
      <c r="S447" s="22" t="n">
        <f aca="false">IF(OR($A447="",N(N447)=0),0,CEILING(N447*(1+IF($O447="",Taux_PA,$O447))-0.005,Pas_Arrondi))</f>
        <v>0</v>
      </c>
      <c r="T447" s="22" t="str">
        <f aca="false">IF($A447="","",SUM(K447:N447))</f>
        <v/>
      </c>
      <c r="U447" s="22" t="str">
        <f aca="false">IF($A447="","",SUM(P447:S447))</f>
        <v/>
      </c>
      <c r="V447" s="22" t="str">
        <f aca="false">IF($A447="","",U447-T447)</f>
        <v/>
      </c>
      <c r="W447" s="23" t="str">
        <f aca="false">IF(OR($A447="",N(T447)=0),"",V447/T447)</f>
        <v/>
      </c>
      <c r="X447" s="18"/>
      <c r="Y447" s="18"/>
    </row>
    <row r="448" customFormat="false" ht="15" hidden="false" customHeight="false" outlineLevel="0" collapsed="false">
      <c r="A448" s="18"/>
      <c r="B448" s="18"/>
      <c r="C448" s="18"/>
      <c r="D448" s="18"/>
      <c r="E448" s="18"/>
      <c r="F448" s="18"/>
      <c r="G448" s="18"/>
      <c r="H448" s="19"/>
      <c r="I448" s="18"/>
      <c r="J448" s="18"/>
      <c r="K448" s="20"/>
      <c r="L448" s="20"/>
      <c r="M448" s="20"/>
      <c r="N448" s="20"/>
      <c r="O448" s="21"/>
      <c r="P448" s="22" t="n">
        <f aca="false">IF(OR($A448="",N(K448)=0),0,CEILING(K448*(1+IF($O448="",Taux_Compta,$O448))-0.005,Pas_Arrondi))</f>
        <v>0</v>
      </c>
      <c r="Q448" s="22" t="n">
        <f aca="false">IF(OR($A448="",N(L448)=0),0,CEILING(L448*(1+IF($O448="",Taux_Paye,$O448))-0.005,Pas_Arrondi))</f>
        <v>0</v>
      </c>
      <c r="R448" s="22" t="n">
        <f aca="false">IF(OR($A448="",N(M448)=0),0,CEILING(M448*(1+IF($O448="",Taux_Jur,$O448))-0.005,Pas_Arrondi))</f>
        <v>0</v>
      </c>
      <c r="S448" s="22" t="n">
        <f aca="false">IF(OR($A448="",N(N448)=0),0,CEILING(N448*(1+IF($O448="",Taux_PA,$O448))-0.005,Pas_Arrondi))</f>
        <v>0</v>
      </c>
      <c r="T448" s="22" t="str">
        <f aca="false">IF($A448="","",SUM(K448:N448))</f>
        <v/>
      </c>
      <c r="U448" s="22" t="str">
        <f aca="false">IF($A448="","",SUM(P448:S448))</f>
        <v/>
      </c>
      <c r="V448" s="22" t="str">
        <f aca="false">IF($A448="","",U448-T448)</f>
        <v/>
      </c>
      <c r="W448" s="23" t="str">
        <f aca="false">IF(OR($A448="",N(T448)=0),"",V448/T448)</f>
        <v/>
      </c>
      <c r="X448" s="18"/>
      <c r="Y448" s="18"/>
    </row>
    <row r="449" customFormat="false" ht="15" hidden="false" customHeight="false" outlineLevel="0" collapsed="false">
      <c r="A449" s="18"/>
      <c r="B449" s="18"/>
      <c r="C449" s="18"/>
      <c r="D449" s="18"/>
      <c r="E449" s="18"/>
      <c r="F449" s="18"/>
      <c r="G449" s="18"/>
      <c r="H449" s="19"/>
      <c r="I449" s="18"/>
      <c r="J449" s="18"/>
      <c r="K449" s="20"/>
      <c r="L449" s="20"/>
      <c r="M449" s="20"/>
      <c r="N449" s="20"/>
      <c r="O449" s="21"/>
      <c r="P449" s="22" t="n">
        <f aca="false">IF(OR($A449="",N(K449)=0),0,CEILING(K449*(1+IF($O449="",Taux_Compta,$O449))-0.005,Pas_Arrondi))</f>
        <v>0</v>
      </c>
      <c r="Q449" s="22" t="n">
        <f aca="false">IF(OR($A449="",N(L449)=0),0,CEILING(L449*(1+IF($O449="",Taux_Paye,$O449))-0.005,Pas_Arrondi))</f>
        <v>0</v>
      </c>
      <c r="R449" s="22" t="n">
        <f aca="false">IF(OR($A449="",N(M449)=0),0,CEILING(M449*(1+IF($O449="",Taux_Jur,$O449))-0.005,Pas_Arrondi))</f>
        <v>0</v>
      </c>
      <c r="S449" s="22" t="n">
        <f aca="false">IF(OR($A449="",N(N449)=0),0,CEILING(N449*(1+IF($O449="",Taux_PA,$O449))-0.005,Pas_Arrondi))</f>
        <v>0</v>
      </c>
      <c r="T449" s="22" t="str">
        <f aca="false">IF($A449="","",SUM(K449:N449))</f>
        <v/>
      </c>
      <c r="U449" s="22" t="str">
        <f aca="false">IF($A449="","",SUM(P449:S449))</f>
        <v/>
      </c>
      <c r="V449" s="22" t="str">
        <f aca="false">IF($A449="","",U449-T449)</f>
        <v/>
      </c>
      <c r="W449" s="23" t="str">
        <f aca="false">IF(OR($A449="",N(T449)=0),"",V449/T449)</f>
        <v/>
      </c>
      <c r="X449" s="18"/>
      <c r="Y449" s="18"/>
    </row>
    <row r="450" customFormat="false" ht="15" hidden="false" customHeight="false" outlineLevel="0" collapsed="false">
      <c r="A450" s="18"/>
      <c r="B450" s="18"/>
      <c r="C450" s="18"/>
      <c r="D450" s="18"/>
      <c r="E450" s="18"/>
      <c r="F450" s="18"/>
      <c r="G450" s="18"/>
      <c r="H450" s="19"/>
      <c r="I450" s="18"/>
      <c r="J450" s="18"/>
      <c r="K450" s="20"/>
      <c r="L450" s="20"/>
      <c r="M450" s="20"/>
      <c r="N450" s="20"/>
      <c r="O450" s="21"/>
      <c r="P450" s="22" t="n">
        <f aca="false">IF(OR($A450="",N(K450)=0),0,CEILING(K450*(1+IF($O450="",Taux_Compta,$O450))-0.005,Pas_Arrondi))</f>
        <v>0</v>
      </c>
      <c r="Q450" s="22" t="n">
        <f aca="false">IF(OR($A450="",N(L450)=0),0,CEILING(L450*(1+IF($O450="",Taux_Paye,$O450))-0.005,Pas_Arrondi))</f>
        <v>0</v>
      </c>
      <c r="R450" s="22" t="n">
        <f aca="false">IF(OR($A450="",N(M450)=0),0,CEILING(M450*(1+IF($O450="",Taux_Jur,$O450))-0.005,Pas_Arrondi))</f>
        <v>0</v>
      </c>
      <c r="S450" s="22" t="n">
        <f aca="false">IF(OR($A450="",N(N450)=0),0,CEILING(N450*(1+IF($O450="",Taux_PA,$O450))-0.005,Pas_Arrondi))</f>
        <v>0</v>
      </c>
      <c r="T450" s="22" t="str">
        <f aca="false">IF($A450="","",SUM(K450:N450))</f>
        <v/>
      </c>
      <c r="U450" s="22" t="str">
        <f aca="false">IF($A450="","",SUM(P450:S450))</f>
        <v/>
      </c>
      <c r="V450" s="22" t="str">
        <f aca="false">IF($A450="","",U450-T450)</f>
        <v/>
      </c>
      <c r="W450" s="23" t="str">
        <f aca="false">IF(OR($A450="",N(T450)=0),"",V450/T450)</f>
        <v/>
      </c>
      <c r="X450" s="18"/>
      <c r="Y450" s="18"/>
    </row>
    <row r="451" customFormat="false" ht="15" hidden="false" customHeight="false" outlineLevel="0" collapsed="false">
      <c r="A451" s="18"/>
      <c r="B451" s="18"/>
      <c r="C451" s="18"/>
      <c r="D451" s="18"/>
      <c r="E451" s="18"/>
      <c r="F451" s="18"/>
      <c r="G451" s="18"/>
      <c r="H451" s="19"/>
      <c r="I451" s="18"/>
      <c r="J451" s="18"/>
      <c r="K451" s="20"/>
      <c r="L451" s="20"/>
      <c r="M451" s="20"/>
      <c r="N451" s="20"/>
      <c r="O451" s="21"/>
      <c r="P451" s="22" t="n">
        <f aca="false">IF(OR($A451="",N(K451)=0),0,CEILING(K451*(1+IF($O451="",Taux_Compta,$O451))-0.005,Pas_Arrondi))</f>
        <v>0</v>
      </c>
      <c r="Q451" s="22" t="n">
        <f aca="false">IF(OR($A451="",N(L451)=0),0,CEILING(L451*(1+IF($O451="",Taux_Paye,$O451))-0.005,Pas_Arrondi))</f>
        <v>0</v>
      </c>
      <c r="R451" s="22" t="n">
        <f aca="false">IF(OR($A451="",N(M451)=0),0,CEILING(M451*(1+IF($O451="",Taux_Jur,$O451))-0.005,Pas_Arrondi))</f>
        <v>0</v>
      </c>
      <c r="S451" s="22" t="n">
        <f aca="false">IF(OR($A451="",N(N451)=0),0,CEILING(N451*(1+IF($O451="",Taux_PA,$O451))-0.005,Pas_Arrondi))</f>
        <v>0</v>
      </c>
      <c r="T451" s="22" t="str">
        <f aca="false">IF($A451="","",SUM(K451:N451))</f>
        <v/>
      </c>
      <c r="U451" s="22" t="str">
        <f aca="false">IF($A451="","",SUM(P451:S451))</f>
        <v/>
      </c>
      <c r="V451" s="22" t="str">
        <f aca="false">IF($A451="","",U451-T451)</f>
        <v/>
      </c>
      <c r="W451" s="23" t="str">
        <f aca="false">IF(OR($A451="",N(T451)=0),"",V451/T451)</f>
        <v/>
      </c>
      <c r="X451" s="18"/>
      <c r="Y451" s="18"/>
    </row>
    <row r="452" customFormat="false" ht="15" hidden="false" customHeight="false" outlineLevel="0" collapsed="false">
      <c r="A452" s="18"/>
      <c r="B452" s="18"/>
      <c r="C452" s="18"/>
      <c r="D452" s="18"/>
      <c r="E452" s="18"/>
      <c r="F452" s="18"/>
      <c r="G452" s="18"/>
      <c r="H452" s="19"/>
      <c r="I452" s="18"/>
      <c r="J452" s="18"/>
      <c r="K452" s="20"/>
      <c r="L452" s="20"/>
      <c r="M452" s="20"/>
      <c r="N452" s="20"/>
      <c r="O452" s="21"/>
      <c r="P452" s="22" t="n">
        <f aca="false">IF(OR($A452="",N(K452)=0),0,CEILING(K452*(1+IF($O452="",Taux_Compta,$O452))-0.005,Pas_Arrondi))</f>
        <v>0</v>
      </c>
      <c r="Q452" s="22" t="n">
        <f aca="false">IF(OR($A452="",N(L452)=0),0,CEILING(L452*(1+IF($O452="",Taux_Paye,$O452))-0.005,Pas_Arrondi))</f>
        <v>0</v>
      </c>
      <c r="R452" s="22" t="n">
        <f aca="false">IF(OR($A452="",N(M452)=0),0,CEILING(M452*(1+IF($O452="",Taux_Jur,$O452))-0.005,Pas_Arrondi))</f>
        <v>0</v>
      </c>
      <c r="S452" s="22" t="n">
        <f aca="false">IF(OR($A452="",N(N452)=0),0,CEILING(N452*(1+IF($O452="",Taux_PA,$O452))-0.005,Pas_Arrondi))</f>
        <v>0</v>
      </c>
      <c r="T452" s="22" t="str">
        <f aca="false">IF($A452="","",SUM(K452:N452))</f>
        <v/>
      </c>
      <c r="U452" s="22" t="str">
        <f aca="false">IF($A452="","",SUM(P452:S452))</f>
        <v/>
      </c>
      <c r="V452" s="22" t="str">
        <f aca="false">IF($A452="","",U452-T452)</f>
        <v/>
      </c>
      <c r="W452" s="23" t="str">
        <f aca="false">IF(OR($A452="",N(T452)=0),"",V452/T452)</f>
        <v/>
      </c>
      <c r="X452" s="18"/>
      <c r="Y452" s="18"/>
    </row>
    <row r="453" customFormat="false" ht="15" hidden="false" customHeight="false" outlineLevel="0" collapsed="false">
      <c r="A453" s="18"/>
      <c r="B453" s="18"/>
      <c r="C453" s="18"/>
      <c r="D453" s="18"/>
      <c r="E453" s="18"/>
      <c r="F453" s="18"/>
      <c r="G453" s="18"/>
      <c r="H453" s="19"/>
      <c r="I453" s="18"/>
      <c r="J453" s="18"/>
      <c r="K453" s="20"/>
      <c r="L453" s="20"/>
      <c r="M453" s="20"/>
      <c r="N453" s="20"/>
      <c r="O453" s="21"/>
      <c r="P453" s="22" t="n">
        <f aca="false">IF(OR($A453="",N(K453)=0),0,CEILING(K453*(1+IF($O453="",Taux_Compta,$O453))-0.005,Pas_Arrondi))</f>
        <v>0</v>
      </c>
      <c r="Q453" s="22" t="n">
        <f aca="false">IF(OR($A453="",N(L453)=0),0,CEILING(L453*(1+IF($O453="",Taux_Paye,$O453))-0.005,Pas_Arrondi))</f>
        <v>0</v>
      </c>
      <c r="R453" s="22" t="n">
        <f aca="false">IF(OR($A453="",N(M453)=0),0,CEILING(M453*(1+IF($O453="",Taux_Jur,$O453))-0.005,Pas_Arrondi))</f>
        <v>0</v>
      </c>
      <c r="S453" s="22" t="n">
        <f aca="false">IF(OR($A453="",N(N453)=0),0,CEILING(N453*(1+IF($O453="",Taux_PA,$O453))-0.005,Pas_Arrondi))</f>
        <v>0</v>
      </c>
      <c r="T453" s="22" t="str">
        <f aca="false">IF($A453="","",SUM(K453:N453))</f>
        <v/>
      </c>
      <c r="U453" s="22" t="str">
        <f aca="false">IF($A453="","",SUM(P453:S453))</f>
        <v/>
      </c>
      <c r="V453" s="22" t="str">
        <f aca="false">IF($A453="","",U453-T453)</f>
        <v/>
      </c>
      <c r="W453" s="23" t="str">
        <f aca="false">IF(OR($A453="",N(T453)=0),"",V453/T453)</f>
        <v/>
      </c>
      <c r="X453" s="18"/>
      <c r="Y453" s="18"/>
    </row>
    <row r="454" customFormat="false" ht="15" hidden="false" customHeight="false" outlineLevel="0" collapsed="false">
      <c r="A454" s="18"/>
      <c r="B454" s="18"/>
      <c r="C454" s="18"/>
      <c r="D454" s="18"/>
      <c r="E454" s="18"/>
      <c r="F454" s="18"/>
      <c r="G454" s="18"/>
      <c r="H454" s="19"/>
      <c r="I454" s="18"/>
      <c r="J454" s="18"/>
      <c r="K454" s="20"/>
      <c r="L454" s="20"/>
      <c r="M454" s="20"/>
      <c r="N454" s="20"/>
      <c r="O454" s="21"/>
      <c r="P454" s="22" t="n">
        <f aca="false">IF(OR($A454="",N(K454)=0),0,CEILING(K454*(1+IF($O454="",Taux_Compta,$O454))-0.005,Pas_Arrondi))</f>
        <v>0</v>
      </c>
      <c r="Q454" s="22" t="n">
        <f aca="false">IF(OR($A454="",N(L454)=0),0,CEILING(L454*(1+IF($O454="",Taux_Paye,$O454))-0.005,Pas_Arrondi))</f>
        <v>0</v>
      </c>
      <c r="R454" s="22" t="n">
        <f aca="false">IF(OR($A454="",N(M454)=0),0,CEILING(M454*(1+IF($O454="",Taux_Jur,$O454))-0.005,Pas_Arrondi))</f>
        <v>0</v>
      </c>
      <c r="S454" s="22" t="n">
        <f aca="false">IF(OR($A454="",N(N454)=0),0,CEILING(N454*(1+IF($O454="",Taux_PA,$O454))-0.005,Pas_Arrondi))</f>
        <v>0</v>
      </c>
      <c r="T454" s="22" t="str">
        <f aca="false">IF($A454="","",SUM(K454:N454))</f>
        <v/>
      </c>
      <c r="U454" s="22" t="str">
        <f aca="false">IF($A454="","",SUM(P454:S454))</f>
        <v/>
      </c>
      <c r="V454" s="22" t="str">
        <f aca="false">IF($A454="","",U454-T454)</f>
        <v/>
      </c>
      <c r="W454" s="23" t="str">
        <f aca="false">IF(OR($A454="",N(T454)=0),"",V454/T454)</f>
        <v/>
      </c>
      <c r="X454" s="18"/>
      <c r="Y454" s="18"/>
    </row>
    <row r="455" customFormat="false" ht="15" hidden="false" customHeight="false" outlineLevel="0" collapsed="false">
      <c r="A455" s="18"/>
      <c r="B455" s="18"/>
      <c r="C455" s="18"/>
      <c r="D455" s="18"/>
      <c r="E455" s="18"/>
      <c r="F455" s="18"/>
      <c r="G455" s="18"/>
      <c r="H455" s="19"/>
      <c r="I455" s="18"/>
      <c r="J455" s="18"/>
      <c r="K455" s="20"/>
      <c r="L455" s="20"/>
      <c r="M455" s="20"/>
      <c r="N455" s="20"/>
      <c r="O455" s="21"/>
      <c r="P455" s="22" t="n">
        <f aca="false">IF(OR($A455="",N(K455)=0),0,CEILING(K455*(1+IF($O455="",Taux_Compta,$O455))-0.005,Pas_Arrondi))</f>
        <v>0</v>
      </c>
      <c r="Q455" s="22" t="n">
        <f aca="false">IF(OR($A455="",N(L455)=0),0,CEILING(L455*(1+IF($O455="",Taux_Paye,$O455))-0.005,Pas_Arrondi))</f>
        <v>0</v>
      </c>
      <c r="R455" s="22" t="n">
        <f aca="false">IF(OR($A455="",N(M455)=0),0,CEILING(M455*(1+IF($O455="",Taux_Jur,$O455))-0.005,Pas_Arrondi))</f>
        <v>0</v>
      </c>
      <c r="S455" s="22" t="n">
        <f aca="false">IF(OR($A455="",N(N455)=0),0,CEILING(N455*(1+IF($O455="",Taux_PA,$O455))-0.005,Pas_Arrondi))</f>
        <v>0</v>
      </c>
      <c r="T455" s="22" t="str">
        <f aca="false">IF($A455="","",SUM(K455:N455))</f>
        <v/>
      </c>
      <c r="U455" s="22" t="str">
        <f aca="false">IF($A455="","",SUM(P455:S455))</f>
        <v/>
      </c>
      <c r="V455" s="22" t="str">
        <f aca="false">IF($A455="","",U455-T455)</f>
        <v/>
      </c>
      <c r="W455" s="23" t="str">
        <f aca="false">IF(OR($A455="",N(T455)=0),"",V455/T455)</f>
        <v/>
      </c>
      <c r="X455" s="18"/>
      <c r="Y455" s="18"/>
    </row>
    <row r="456" customFormat="false" ht="15" hidden="false" customHeight="false" outlineLevel="0" collapsed="false">
      <c r="A456" s="18"/>
      <c r="B456" s="18"/>
      <c r="C456" s="18"/>
      <c r="D456" s="18"/>
      <c r="E456" s="18"/>
      <c r="F456" s="18"/>
      <c r="G456" s="18"/>
      <c r="H456" s="19"/>
      <c r="I456" s="18"/>
      <c r="J456" s="18"/>
      <c r="K456" s="20"/>
      <c r="L456" s="20"/>
      <c r="M456" s="20"/>
      <c r="N456" s="20"/>
      <c r="O456" s="21"/>
      <c r="P456" s="22" t="n">
        <f aca="false">IF(OR($A456="",N(K456)=0),0,CEILING(K456*(1+IF($O456="",Taux_Compta,$O456))-0.005,Pas_Arrondi))</f>
        <v>0</v>
      </c>
      <c r="Q456" s="22" t="n">
        <f aca="false">IF(OR($A456="",N(L456)=0),0,CEILING(L456*(1+IF($O456="",Taux_Paye,$O456))-0.005,Pas_Arrondi))</f>
        <v>0</v>
      </c>
      <c r="R456" s="22" t="n">
        <f aca="false">IF(OR($A456="",N(M456)=0),0,CEILING(M456*(1+IF($O456="",Taux_Jur,$O456))-0.005,Pas_Arrondi))</f>
        <v>0</v>
      </c>
      <c r="S456" s="22" t="n">
        <f aca="false">IF(OR($A456="",N(N456)=0),0,CEILING(N456*(1+IF($O456="",Taux_PA,$O456))-0.005,Pas_Arrondi))</f>
        <v>0</v>
      </c>
      <c r="T456" s="22" t="str">
        <f aca="false">IF($A456="","",SUM(K456:N456))</f>
        <v/>
      </c>
      <c r="U456" s="22" t="str">
        <f aca="false">IF($A456="","",SUM(P456:S456))</f>
        <v/>
      </c>
      <c r="V456" s="22" t="str">
        <f aca="false">IF($A456="","",U456-T456)</f>
        <v/>
      </c>
      <c r="W456" s="23" t="str">
        <f aca="false">IF(OR($A456="",N(T456)=0),"",V456/T456)</f>
        <v/>
      </c>
      <c r="X456" s="18"/>
      <c r="Y456" s="18"/>
    </row>
    <row r="457" customFormat="false" ht="15" hidden="false" customHeight="false" outlineLevel="0" collapsed="false">
      <c r="A457" s="18"/>
      <c r="B457" s="18"/>
      <c r="C457" s="18"/>
      <c r="D457" s="18"/>
      <c r="E457" s="18"/>
      <c r="F457" s="18"/>
      <c r="G457" s="18"/>
      <c r="H457" s="19"/>
      <c r="I457" s="18"/>
      <c r="J457" s="18"/>
      <c r="K457" s="20"/>
      <c r="L457" s="20"/>
      <c r="M457" s="20"/>
      <c r="N457" s="20"/>
      <c r="O457" s="21"/>
      <c r="P457" s="22" t="n">
        <f aca="false">IF(OR($A457="",N(K457)=0),0,CEILING(K457*(1+IF($O457="",Taux_Compta,$O457))-0.005,Pas_Arrondi))</f>
        <v>0</v>
      </c>
      <c r="Q457" s="22" t="n">
        <f aca="false">IF(OR($A457="",N(L457)=0),0,CEILING(L457*(1+IF($O457="",Taux_Paye,$O457))-0.005,Pas_Arrondi))</f>
        <v>0</v>
      </c>
      <c r="R457" s="22" t="n">
        <f aca="false">IF(OR($A457="",N(M457)=0),0,CEILING(M457*(1+IF($O457="",Taux_Jur,$O457))-0.005,Pas_Arrondi))</f>
        <v>0</v>
      </c>
      <c r="S457" s="22" t="n">
        <f aca="false">IF(OR($A457="",N(N457)=0),0,CEILING(N457*(1+IF($O457="",Taux_PA,$O457))-0.005,Pas_Arrondi))</f>
        <v>0</v>
      </c>
      <c r="T457" s="22" t="str">
        <f aca="false">IF($A457="","",SUM(K457:N457))</f>
        <v/>
      </c>
      <c r="U457" s="22" t="str">
        <f aca="false">IF($A457="","",SUM(P457:S457))</f>
        <v/>
      </c>
      <c r="V457" s="22" t="str">
        <f aca="false">IF($A457="","",U457-T457)</f>
        <v/>
      </c>
      <c r="W457" s="23" t="str">
        <f aca="false">IF(OR($A457="",N(T457)=0),"",V457/T457)</f>
        <v/>
      </c>
      <c r="X457" s="18"/>
      <c r="Y457" s="18"/>
    </row>
    <row r="458" customFormat="false" ht="15" hidden="false" customHeight="false" outlineLevel="0" collapsed="false">
      <c r="A458" s="18"/>
      <c r="B458" s="18"/>
      <c r="C458" s="18"/>
      <c r="D458" s="18"/>
      <c r="E458" s="18"/>
      <c r="F458" s="18"/>
      <c r="G458" s="18"/>
      <c r="H458" s="19"/>
      <c r="I458" s="18"/>
      <c r="J458" s="18"/>
      <c r="K458" s="20"/>
      <c r="L458" s="20"/>
      <c r="M458" s="20"/>
      <c r="N458" s="20"/>
      <c r="O458" s="21"/>
      <c r="P458" s="22" t="n">
        <f aca="false">IF(OR($A458="",N(K458)=0),0,CEILING(K458*(1+IF($O458="",Taux_Compta,$O458))-0.005,Pas_Arrondi))</f>
        <v>0</v>
      </c>
      <c r="Q458" s="22" t="n">
        <f aca="false">IF(OR($A458="",N(L458)=0),0,CEILING(L458*(1+IF($O458="",Taux_Paye,$O458))-0.005,Pas_Arrondi))</f>
        <v>0</v>
      </c>
      <c r="R458" s="22" t="n">
        <f aca="false">IF(OR($A458="",N(M458)=0),0,CEILING(M458*(1+IF($O458="",Taux_Jur,$O458))-0.005,Pas_Arrondi))</f>
        <v>0</v>
      </c>
      <c r="S458" s="22" t="n">
        <f aca="false">IF(OR($A458="",N(N458)=0),0,CEILING(N458*(1+IF($O458="",Taux_PA,$O458))-0.005,Pas_Arrondi))</f>
        <v>0</v>
      </c>
      <c r="T458" s="22" t="str">
        <f aca="false">IF($A458="","",SUM(K458:N458))</f>
        <v/>
      </c>
      <c r="U458" s="22" t="str">
        <f aca="false">IF($A458="","",SUM(P458:S458))</f>
        <v/>
      </c>
      <c r="V458" s="22" t="str">
        <f aca="false">IF($A458="","",U458-T458)</f>
        <v/>
      </c>
      <c r="W458" s="23" t="str">
        <f aca="false">IF(OR($A458="",N(T458)=0),"",V458/T458)</f>
        <v/>
      </c>
      <c r="X458" s="18"/>
      <c r="Y458" s="18"/>
    </row>
    <row r="459" customFormat="false" ht="15" hidden="false" customHeight="false" outlineLevel="0" collapsed="false">
      <c r="A459" s="18"/>
      <c r="B459" s="18"/>
      <c r="C459" s="18"/>
      <c r="D459" s="18"/>
      <c r="E459" s="18"/>
      <c r="F459" s="18"/>
      <c r="G459" s="18"/>
      <c r="H459" s="19"/>
      <c r="I459" s="18"/>
      <c r="J459" s="18"/>
      <c r="K459" s="20"/>
      <c r="L459" s="20"/>
      <c r="M459" s="20"/>
      <c r="N459" s="20"/>
      <c r="O459" s="21"/>
      <c r="P459" s="22" t="n">
        <f aca="false">IF(OR($A459="",N(K459)=0),0,CEILING(K459*(1+IF($O459="",Taux_Compta,$O459))-0.005,Pas_Arrondi))</f>
        <v>0</v>
      </c>
      <c r="Q459" s="22" t="n">
        <f aca="false">IF(OR($A459="",N(L459)=0),0,CEILING(L459*(1+IF($O459="",Taux_Paye,$O459))-0.005,Pas_Arrondi))</f>
        <v>0</v>
      </c>
      <c r="R459" s="22" t="n">
        <f aca="false">IF(OR($A459="",N(M459)=0),0,CEILING(M459*(1+IF($O459="",Taux_Jur,$O459))-0.005,Pas_Arrondi))</f>
        <v>0</v>
      </c>
      <c r="S459" s="22" t="n">
        <f aca="false">IF(OR($A459="",N(N459)=0),0,CEILING(N459*(1+IF($O459="",Taux_PA,$O459))-0.005,Pas_Arrondi))</f>
        <v>0</v>
      </c>
      <c r="T459" s="22" t="str">
        <f aca="false">IF($A459="","",SUM(K459:N459))</f>
        <v/>
      </c>
      <c r="U459" s="22" t="str">
        <f aca="false">IF($A459="","",SUM(P459:S459))</f>
        <v/>
      </c>
      <c r="V459" s="22" t="str">
        <f aca="false">IF($A459="","",U459-T459)</f>
        <v/>
      </c>
      <c r="W459" s="23" t="str">
        <f aca="false">IF(OR($A459="",N(T459)=0),"",V459/T459)</f>
        <v/>
      </c>
      <c r="X459" s="18"/>
      <c r="Y459" s="18"/>
    </row>
    <row r="460" customFormat="false" ht="15" hidden="false" customHeight="false" outlineLevel="0" collapsed="false">
      <c r="A460" s="18"/>
      <c r="B460" s="18"/>
      <c r="C460" s="18"/>
      <c r="D460" s="18"/>
      <c r="E460" s="18"/>
      <c r="F460" s="18"/>
      <c r="G460" s="18"/>
      <c r="H460" s="19"/>
      <c r="I460" s="18"/>
      <c r="J460" s="18"/>
      <c r="K460" s="20"/>
      <c r="L460" s="20"/>
      <c r="M460" s="20"/>
      <c r="N460" s="20"/>
      <c r="O460" s="21"/>
      <c r="P460" s="22" t="n">
        <f aca="false">IF(OR($A460="",N(K460)=0),0,CEILING(K460*(1+IF($O460="",Taux_Compta,$O460))-0.005,Pas_Arrondi))</f>
        <v>0</v>
      </c>
      <c r="Q460" s="22" t="n">
        <f aca="false">IF(OR($A460="",N(L460)=0),0,CEILING(L460*(1+IF($O460="",Taux_Paye,$O460))-0.005,Pas_Arrondi))</f>
        <v>0</v>
      </c>
      <c r="R460" s="22" t="n">
        <f aca="false">IF(OR($A460="",N(M460)=0),0,CEILING(M460*(1+IF($O460="",Taux_Jur,$O460))-0.005,Pas_Arrondi))</f>
        <v>0</v>
      </c>
      <c r="S460" s="22" t="n">
        <f aca="false">IF(OR($A460="",N(N460)=0),0,CEILING(N460*(1+IF($O460="",Taux_PA,$O460))-0.005,Pas_Arrondi))</f>
        <v>0</v>
      </c>
      <c r="T460" s="22" t="str">
        <f aca="false">IF($A460="","",SUM(K460:N460))</f>
        <v/>
      </c>
      <c r="U460" s="22" t="str">
        <f aca="false">IF($A460="","",SUM(P460:S460))</f>
        <v/>
      </c>
      <c r="V460" s="22" t="str">
        <f aca="false">IF($A460="","",U460-T460)</f>
        <v/>
      </c>
      <c r="W460" s="23" t="str">
        <f aca="false">IF(OR($A460="",N(T460)=0),"",V460/T460)</f>
        <v/>
      </c>
      <c r="X460" s="18"/>
      <c r="Y460" s="18"/>
    </row>
    <row r="461" customFormat="false" ht="15" hidden="false" customHeight="false" outlineLevel="0" collapsed="false">
      <c r="A461" s="18"/>
      <c r="B461" s="18"/>
      <c r="C461" s="18"/>
      <c r="D461" s="18"/>
      <c r="E461" s="18"/>
      <c r="F461" s="18"/>
      <c r="G461" s="18"/>
      <c r="H461" s="19"/>
      <c r="I461" s="18"/>
      <c r="J461" s="18"/>
      <c r="K461" s="20"/>
      <c r="L461" s="20"/>
      <c r="M461" s="20"/>
      <c r="N461" s="20"/>
      <c r="O461" s="21"/>
      <c r="P461" s="22" t="n">
        <f aca="false">IF(OR($A461="",N(K461)=0),0,CEILING(K461*(1+IF($O461="",Taux_Compta,$O461))-0.005,Pas_Arrondi))</f>
        <v>0</v>
      </c>
      <c r="Q461" s="22" t="n">
        <f aca="false">IF(OR($A461="",N(L461)=0),0,CEILING(L461*(1+IF($O461="",Taux_Paye,$O461))-0.005,Pas_Arrondi))</f>
        <v>0</v>
      </c>
      <c r="R461" s="22" t="n">
        <f aca="false">IF(OR($A461="",N(M461)=0),0,CEILING(M461*(1+IF($O461="",Taux_Jur,$O461))-0.005,Pas_Arrondi))</f>
        <v>0</v>
      </c>
      <c r="S461" s="22" t="n">
        <f aca="false">IF(OR($A461="",N(N461)=0),0,CEILING(N461*(1+IF($O461="",Taux_PA,$O461))-0.005,Pas_Arrondi))</f>
        <v>0</v>
      </c>
      <c r="T461" s="22" t="str">
        <f aca="false">IF($A461="","",SUM(K461:N461))</f>
        <v/>
      </c>
      <c r="U461" s="22" t="str">
        <f aca="false">IF($A461="","",SUM(P461:S461))</f>
        <v/>
      </c>
      <c r="V461" s="22" t="str">
        <f aca="false">IF($A461="","",U461-T461)</f>
        <v/>
      </c>
      <c r="W461" s="23" t="str">
        <f aca="false">IF(OR($A461="",N(T461)=0),"",V461/T461)</f>
        <v/>
      </c>
      <c r="X461" s="18"/>
      <c r="Y461" s="18"/>
    </row>
    <row r="462" customFormat="false" ht="15" hidden="false" customHeight="false" outlineLevel="0" collapsed="false">
      <c r="A462" s="18"/>
      <c r="B462" s="18"/>
      <c r="C462" s="18"/>
      <c r="D462" s="18"/>
      <c r="E462" s="18"/>
      <c r="F462" s="18"/>
      <c r="G462" s="18"/>
      <c r="H462" s="19"/>
      <c r="I462" s="18"/>
      <c r="J462" s="18"/>
      <c r="K462" s="20"/>
      <c r="L462" s="20"/>
      <c r="M462" s="20"/>
      <c r="N462" s="20"/>
      <c r="O462" s="21"/>
      <c r="P462" s="22" t="n">
        <f aca="false">IF(OR($A462="",N(K462)=0),0,CEILING(K462*(1+IF($O462="",Taux_Compta,$O462))-0.005,Pas_Arrondi))</f>
        <v>0</v>
      </c>
      <c r="Q462" s="22" t="n">
        <f aca="false">IF(OR($A462="",N(L462)=0),0,CEILING(L462*(1+IF($O462="",Taux_Paye,$O462))-0.005,Pas_Arrondi))</f>
        <v>0</v>
      </c>
      <c r="R462" s="22" t="n">
        <f aca="false">IF(OR($A462="",N(M462)=0),0,CEILING(M462*(1+IF($O462="",Taux_Jur,$O462))-0.005,Pas_Arrondi))</f>
        <v>0</v>
      </c>
      <c r="S462" s="22" t="n">
        <f aca="false">IF(OR($A462="",N(N462)=0),0,CEILING(N462*(1+IF($O462="",Taux_PA,$O462))-0.005,Pas_Arrondi))</f>
        <v>0</v>
      </c>
      <c r="T462" s="22" t="str">
        <f aca="false">IF($A462="","",SUM(K462:N462))</f>
        <v/>
      </c>
      <c r="U462" s="22" t="str">
        <f aca="false">IF($A462="","",SUM(P462:S462))</f>
        <v/>
      </c>
      <c r="V462" s="22" t="str">
        <f aca="false">IF($A462="","",U462-T462)</f>
        <v/>
      </c>
      <c r="W462" s="23" t="str">
        <f aca="false">IF(OR($A462="",N(T462)=0),"",V462/T462)</f>
        <v/>
      </c>
      <c r="X462" s="18"/>
      <c r="Y462" s="18"/>
    </row>
    <row r="463" customFormat="false" ht="15" hidden="false" customHeight="false" outlineLevel="0" collapsed="false">
      <c r="A463" s="18"/>
      <c r="B463" s="18"/>
      <c r="C463" s="18"/>
      <c r="D463" s="18"/>
      <c r="E463" s="18"/>
      <c r="F463" s="18"/>
      <c r="G463" s="18"/>
      <c r="H463" s="19"/>
      <c r="I463" s="18"/>
      <c r="J463" s="18"/>
      <c r="K463" s="20"/>
      <c r="L463" s="20"/>
      <c r="M463" s="20"/>
      <c r="N463" s="20"/>
      <c r="O463" s="21"/>
      <c r="P463" s="22" t="n">
        <f aca="false">IF(OR($A463="",N(K463)=0),0,CEILING(K463*(1+IF($O463="",Taux_Compta,$O463))-0.005,Pas_Arrondi))</f>
        <v>0</v>
      </c>
      <c r="Q463" s="22" t="n">
        <f aca="false">IF(OR($A463="",N(L463)=0),0,CEILING(L463*(1+IF($O463="",Taux_Paye,$O463))-0.005,Pas_Arrondi))</f>
        <v>0</v>
      </c>
      <c r="R463" s="22" t="n">
        <f aca="false">IF(OR($A463="",N(M463)=0),0,CEILING(M463*(1+IF($O463="",Taux_Jur,$O463))-0.005,Pas_Arrondi))</f>
        <v>0</v>
      </c>
      <c r="S463" s="22" t="n">
        <f aca="false">IF(OR($A463="",N(N463)=0),0,CEILING(N463*(1+IF($O463="",Taux_PA,$O463))-0.005,Pas_Arrondi))</f>
        <v>0</v>
      </c>
      <c r="T463" s="22" t="str">
        <f aca="false">IF($A463="","",SUM(K463:N463))</f>
        <v/>
      </c>
      <c r="U463" s="22" t="str">
        <f aca="false">IF($A463="","",SUM(P463:S463))</f>
        <v/>
      </c>
      <c r="V463" s="22" t="str">
        <f aca="false">IF($A463="","",U463-T463)</f>
        <v/>
      </c>
      <c r="W463" s="23" t="str">
        <f aca="false">IF(OR($A463="",N(T463)=0),"",V463/T463)</f>
        <v/>
      </c>
      <c r="X463" s="18"/>
      <c r="Y463" s="18"/>
    </row>
    <row r="464" customFormat="false" ht="15" hidden="false" customHeight="false" outlineLevel="0" collapsed="false">
      <c r="A464" s="18"/>
      <c r="B464" s="18"/>
      <c r="C464" s="18"/>
      <c r="D464" s="18"/>
      <c r="E464" s="18"/>
      <c r="F464" s="18"/>
      <c r="G464" s="18"/>
      <c r="H464" s="19"/>
      <c r="I464" s="18"/>
      <c r="J464" s="18"/>
      <c r="K464" s="20"/>
      <c r="L464" s="20"/>
      <c r="M464" s="20"/>
      <c r="N464" s="20"/>
      <c r="O464" s="21"/>
      <c r="P464" s="22" t="n">
        <f aca="false">IF(OR($A464="",N(K464)=0),0,CEILING(K464*(1+IF($O464="",Taux_Compta,$O464))-0.005,Pas_Arrondi))</f>
        <v>0</v>
      </c>
      <c r="Q464" s="22" t="n">
        <f aca="false">IF(OR($A464="",N(L464)=0),0,CEILING(L464*(1+IF($O464="",Taux_Paye,$O464))-0.005,Pas_Arrondi))</f>
        <v>0</v>
      </c>
      <c r="R464" s="22" t="n">
        <f aca="false">IF(OR($A464="",N(M464)=0),0,CEILING(M464*(1+IF($O464="",Taux_Jur,$O464))-0.005,Pas_Arrondi))</f>
        <v>0</v>
      </c>
      <c r="S464" s="22" t="n">
        <f aca="false">IF(OR($A464="",N(N464)=0),0,CEILING(N464*(1+IF($O464="",Taux_PA,$O464))-0.005,Pas_Arrondi))</f>
        <v>0</v>
      </c>
      <c r="T464" s="22" t="str">
        <f aca="false">IF($A464="","",SUM(K464:N464))</f>
        <v/>
      </c>
      <c r="U464" s="22" t="str">
        <f aca="false">IF($A464="","",SUM(P464:S464))</f>
        <v/>
      </c>
      <c r="V464" s="22" t="str">
        <f aca="false">IF($A464="","",U464-T464)</f>
        <v/>
      </c>
      <c r="W464" s="23" t="str">
        <f aca="false">IF(OR($A464="",N(T464)=0),"",V464/T464)</f>
        <v/>
      </c>
      <c r="X464" s="18"/>
      <c r="Y464" s="18"/>
    </row>
    <row r="465" customFormat="false" ht="15" hidden="false" customHeight="false" outlineLevel="0" collapsed="false">
      <c r="A465" s="18"/>
      <c r="B465" s="18"/>
      <c r="C465" s="18"/>
      <c r="D465" s="18"/>
      <c r="E465" s="18"/>
      <c r="F465" s="18"/>
      <c r="G465" s="18"/>
      <c r="H465" s="19"/>
      <c r="I465" s="18"/>
      <c r="J465" s="18"/>
      <c r="K465" s="20"/>
      <c r="L465" s="20"/>
      <c r="M465" s="20"/>
      <c r="N465" s="20"/>
      <c r="O465" s="21"/>
      <c r="P465" s="22" t="n">
        <f aca="false">IF(OR($A465="",N(K465)=0),0,CEILING(K465*(1+IF($O465="",Taux_Compta,$O465))-0.005,Pas_Arrondi))</f>
        <v>0</v>
      </c>
      <c r="Q465" s="22" t="n">
        <f aca="false">IF(OR($A465="",N(L465)=0),0,CEILING(L465*(1+IF($O465="",Taux_Paye,$O465))-0.005,Pas_Arrondi))</f>
        <v>0</v>
      </c>
      <c r="R465" s="22" t="n">
        <f aca="false">IF(OR($A465="",N(M465)=0),0,CEILING(M465*(1+IF($O465="",Taux_Jur,$O465))-0.005,Pas_Arrondi))</f>
        <v>0</v>
      </c>
      <c r="S465" s="22" t="n">
        <f aca="false">IF(OR($A465="",N(N465)=0),0,CEILING(N465*(1+IF($O465="",Taux_PA,$O465))-0.005,Pas_Arrondi))</f>
        <v>0</v>
      </c>
      <c r="T465" s="22" t="str">
        <f aca="false">IF($A465="","",SUM(K465:N465))</f>
        <v/>
      </c>
      <c r="U465" s="22" t="str">
        <f aca="false">IF($A465="","",SUM(P465:S465))</f>
        <v/>
      </c>
      <c r="V465" s="22" t="str">
        <f aca="false">IF($A465="","",U465-T465)</f>
        <v/>
      </c>
      <c r="W465" s="23" t="str">
        <f aca="false">IF(OR($A465="",N(T465)=0),"",V465/T465)</f>
        <v/>
      </c>
      <c r="X465" s="18"/>
      <c r="Y465" s="18"/>
    </row>
    <row r="466" customFormat="false" ht="15" hidden="false" customHeight="false" outlineLevel="0" collapsed="false">
      <c r="A466" s="18"/>
      <c r="B466" s="18"/>
      <c r="C466" s="18"/>
      <c r="D466" s="18"/>
      <c r="E466" s="18"/>
      <c r="F466" s="18"/>
      <c r="G466" s="18"/>
      <c r="H466" s="19"/>
      <c r="I466" s="18"/>
      <c r="J466" s="18"/>
      <c r="K466" s="20"/>
      <c r="L466" s="20"/>
      <c r="M466" s="20"/>
      <c r="N466" s="20"/>
      <c r="O466" s="21"/>
      <c r="P466" s="22" t="n">
        <f aca="false">IF(OR($A466="",N(K466)=0),0,CEILING(K466*(1+IF($O466="",Taux_Compta,$O466))-0.005,Pas_Arrondi))</f>
        <v>0</v>
      </c>
      <c r="Q466" s="22" t="n">
        <f aca="false">IF(OR($A466="",N(L466)=0),0,CEILING(L466*(1+IF($O466="",Taux_Paye,$O466))-0.005,Pas_Arrondi))</f>
        <v>0</v>
      </c>
      <c r="R466" s="22" t="n">
        <f aca="false">IF(OR($A466="",N(M466)=0),0,CEILING(M466*(1+IF($O466="",Taux_Jur,$O466))-0.005,Pas_Arrondi))</f>
        <v>0</v>
      </c>
      <c r="S466" s="22" t="n">
        <f aca="false">IF(OR($A466="",N(N466)=0),0,CEILING(N466*(1+IF($O466="",Taux_PA,$O466))-0.005,Pas_Arrondi))</f>
        <v>0</v>
      </c>
      <c r="T466" s="22" t="str">
        <f aca="false">IF($A466="","",SUM(K466:N466))</f>
        <v/>
      </c>
      <c r="U466" s="22" t="str">
        <f aca="false">IF($A466="","",SUM(P466:S466))</f>
        <v/>
      </c>
      <c r="V466" s="22" t="str">
        <f aca="false">IF($A466="","",U466-T466)</f>
        <v/>
      </c>
      <c r="W466" s="23" t="str">
        <f aca="false">IF(OR($A466="",N(T466)=0),"",V466/T466)</f>
        <v/>
      </c>
      <c r="X466" s="18"/>
      <c r="Y466" s="18"/>
    </row>
    <row r="467" customFormat="false" ht="15" hidden="false" customHeight="false" outlineLevel="0" collapsed="false">
      <c r="A467" s="18"/>
      <c r="B467" s="18"/>
      <c r="C467" s="18"/>
      <c r="D467" s="18"/>
      <c r="E467" s="18"/>
      <c r="F467" s="18"/>
      <c r="G467" s="18"/>
      <c r="H467" s="19"/>
      <c r="I467" s="18"/>
      <c r="J467" s="18"/>
      <c r="K467" s="20"/>
      <c r="L467" s="20"/>
      <c r="M467" s="20"/>
      <c r="N467" s="20"/>
      <c r="O467" s="21"/>
      <c r="P467" s="22" t="n">
        <f aca="false">IF(OR($A467="",N(K467)=0),0,CEILING(K467*(1+IF($O467="",Taux_Compta,$O467))-0.005,Pas_Arrondi))</f>
        <v>0</v>
      </c>
      <c r="Q467" s="22" t="n">
        <f aca="false">IF(OR($A467="",N(L467)=0),0,CEILING(L467*(1+IF($O467="",Taux_Paye,$O467))-0.005,Pas_Arrondi))</f>
        <v>0</v>
      </c>
      <c r="R467" s="22" t="n">
        <f aca="false">IF(OR($A467="",N(M467)=0),0,CEILING(M467*(1+IF($O467="",Taux_Jur,$O467))-0.005,Pas_Arrondi))</f>
        <v>0</v>
      </c>
      <c r="S467" s="22" t="n">
        <f aca="false">IF(OR($A467="",N(N467)=0),0,CEILING(N467*(1+IF($O467="",Taux_PA,$O467))-0.005,Pas_Arrondi))</f>
        <v>0</v>
      </c>
      <c r="T467" s="22" t="str">
        <f aca="false">IF($A467="","",SUM(K467:N467))</f>
        <v/>
      </c>
      <c r="U467" s="22" t="str">
        <f aca="false">IF($A467="","",SUM(P467:S467))</f>
        <v/>
      </c>
      <c r="V467" s="22" t="str">
        <f aca="false">IF($A467="","",U467-T467)</f>
        <v/>
      </c>
      <c r="W467" s="23" t="str">
        <f aca="false">IF(OR($A467="",N(T467)=0),"",V467/T467)</f>
        <v/>
      </c>
      <c r="X467" s="18"/>
      <c r="Y467" s="18"/>
    </row>
    <row r="468" customFormat="false" ht="15" hidden="false" customHeight="false" outlineLevel="0" collapsed="false">
      <c r="A468" s="18"/>
      <c r="B468" s="18"/>
      <c r="C468" s="18"/>
      <c r="D468" s="18"/>
      <c r="E468" s="18"/>
      <c r="F468" s="18"/>
      <c r="G468" s="18"/>
      <c r="H468" s="19"/>
      <c r="I468" s="18"/>
      <c r="J468" s="18"/>
      <c r="K468" s="20"/>
      <c r="L468" s="20"/>
      <c r="M468" s="20"/>
      <c r="N468" s="20"/>
      <c r="O468" s="21"/>
      <c r="P468" s="22" t="n">
        <f aca="false">IF(OR($A468="",N(K468)=0),0,CEILING(K468*(1+IF($O468="",Taux_Compta,$O468))-0.005,Pas_Arrondi))</f>
        <v>0</v>
      </c>
      <c r="Q468" s="22" t="n">
        <f aca="false">IF(OR($A468="",N(L468)=0),0,CEILING(L468*(1+IF($O468="",Taux_Paye,$O468))-0.005,Pas_Arrondi))</f>
        <v>0</v>
      </c>
      <c r="R468" s="22" t="n">
        <f aca="false">IF(OR($A468="",N(M468)=0),0,CEILING(M468*(1+IF($O468="",Taux_Jur,$O468))-0.005,Pas_Arrondi))</f>
        <v>0</v>
      </c>
      <c r="S468" s="22" t="n">
        <f aca="false">IF(OR($A468="",N(N468)=0),0,CEILING(N468*(1+IF($O468="",Taux_PA,$O468))-0.005,Pas_Arrondi))</f>
        <v>0</v>
      </c>
      <c r="T468" s="22" t="str">
        <f aca="false">IF($A468="","",SUM(K468:N468))</f>
        <v/>
      </c>
      <c r="U468" s="22" t="str">
        <f aca="false">IF($A468="","",SUM(P468:S468))</f>
        <v/>
      </c>
      <c r="V468" s="22" t="str">
        <f aca="false">IF($A468="","",U468-T468)</f>
        <v/>
      </c>
      <c r="W468" s="23" t="str">
        <f aca="false">IF(OR($A468="",N(T468)=0),"",V468/T468)</f>
        <v/>
      </c>
      <c r="X468" s="18"/>
      <c r="Y468" s="18"/>
    </row>
    <row r="469" customFormat="false" ht="15" hidden="false" customHeight="false" outlineLevel="0" collapsed="false">
      <c r="A469" s="18"/>
      <c r="B469" s="18"/>
      <c r="C469" s="18"/>
      <c r="D469" s="18"/>
      <c r="E469" s="18"/>
      <c r="F469" s="18"/>
      <c r="G469" s="18"/>
      <c r="H469" s="19"/>
      <c r="I469" s="18"/>
      <c r="J469" s="18"/>
      <c r="K469" s="20"/>
      <c r="L469" s="20"/>
      <c r="M469" s="20"/>
      <c r="N469" s="20"/>
      <c r="O469" s="21"/>
      <c r="P469" s="22" t="n">
        <f aca="false">IF(OR($A469="",N(K469)=0),0,CEILING(K469*(1+IF($O469="",Taux_Compta,$O469))-0.005,Pas_Arrondi))</f>
        <v>0</v>
      </c>
      <c r="Q469" s="22" t="n">
        <f aca="false">IF(OR($A469="",N(L469)=0),0,CEILING(L469*(1+IF($O469="",Taux_Paye,$O469))-0.005,Pas_Arrondi))</f>
        <v>0</v>
      </c>
      <c r="R469" s="22" t="n">
        <f aca="false">IF(OR($A469="",N(M469)=0),0,CEILING(M469*(1+IF($O469="",Taux_Jur,$O469))-0.005,Pas_Arrondi))</f>
        <v>0</v>
      </c>
      <c r="S469" s="22" t="n">
        <f aca="false">IF(OR($A469="",N(N469)=0),0,CEILING(N469*(1+IF($O469="",Taux_PA,$O469))-0.005,Pas_Arrondi))</f>
        <v>0</v>
      </c>
      <c r="T469" s="22" t="str">
        <f aca="false">IF($A469="","",SUM(K469:N469))</f>
        <v/>
      </c>
      <c r="U469" s="22" t="str">
        <f aca="false">IF($A469="","",SUM(P469:S469))</f>
        <v/>
      </c>
      <c r="V469" s="22" t="str">
        <f aca="false">IF($A469="","",U469-T469)</f>
        <v/>
      </c>
      <c r="W469" s="23" t="str">
        <f aca="false">IF(OR($A469="",N(T469)=0),"",V469/T469)</f>
        <v/>
      </c>
      <c r="X469" s="18"/>
      <c r="Y469" s="18"/>
    </row>
    <row r="470" customFormat="false" ht="15" hidden="false" customHeight="false" outlineLevel="0" collapsed="false">
      <c r="A470" s="18"/>
      <c r="B470" s="18"/>
      <c r="C470" s="18"/>
      <c r="D470" s="18"/>
      <c r="E470" s="18"/>
      <c r="F470" s="18"/>
      <c r="G470" s="18"/>
      <c r="H470" s="19"/>
      <c r="I470" s="18"/>
      <c r="J470" s="18"/>
      <c r="K470" s="20"/>
      <c r="L470" s="20"/>
      <c r="M470" s="20"/>
      <c r="N470" s="20"/>
      <c r="O470" s="21"/>
      <c r="P470" s="22" t="n">
        <f aca="false">IF(OR($A470="",N(K470)=0),0,CEILING(K470*(1+IF($O470="",Taux_Compta,$O470))-0.005,Pas_Arrondi))</f>
        <v>0</v>
      </c>
      <c r="Q470" s="22" t="n">
        <f aca="false">IF(OR($A470="",N(L470)=0),0,CEILING(L470*(1+IF($O470="",Taux_Paye,$O470))-0.005,Pas_Arrondi))</f>
        <v>0</v>
      </c>
      <c r="R470" s="22" t="n">
        <f aca="false">IF(OR($A470="",N(M470)=0),0,CEILING(M470*(1+IF($O470="",Taux_Jur,$O470))-0.005,Pas_Arrondi))</f>
        <v>0</v>
      </c>
      <c r="S470" s="22" t="n">
        <f aca="false">IF(OR($A470="",N(N470)=0),0,CEILING(N470*(1+IF($O470="",Taux_PA,$O470))-0.005,Pas_Arrondi))</f>
        <v>0</v>
      </c>
      <c r="T470" s="22" t="str">
        <f aca="false">IF($A470="","",SUM(K470:N470))</f>
        <v/>
      </c>
      <c r="U470" s="22" t="str">
        <f aca="false">IF($A470="","",SUM(P470:S470))</f>
        <v/>
      </c>
      <c r="V470" s="22" t="str">
        <f aca="false">IF($A470="","",U470-T470)</f>
        <v/>
      </c>
      <c r="W470" s="23" t="str">
        <f aca="false">IF(OR($A470="",N(T470)=0),"",V470/T470)</f>
        <v/>
      </c>
      <c r="X470" s="18"/>
      <c r="Y470" s="18"/>
    </row>
    <row r="471" customFormat="false" ht="15" hidden="false" customHeight="false" outlineLevel="0" collapsed="false">
      <c r="A471" s="18"/>
      <c r="B471" s="18"/>
      <c r="C471" s="18"/>
      <c r="D471" s="18"/>
      <c r="E471" s="18"/>
      <c r="F471" s="18"/>
      <c r="G471" s="18"/>
      <c r="H471" s="19"/>
      <c r="I471" s="18"/>
      <c r="J471" s="18"/>
      <c r="K471" s="20"/>
      <c r="L471" s="20"/>
      <c r="M471" s="20"/>
      <c r="N471" s="20"/>
      <c r="O471" s="21"/>
      <c r="P471" s="22" t="n">
        <f aca="false">IF(OR($A471="",N(K471)=0),0,CEILING(K471*(1+IF($O471="",Taux_Compta,$O471))-0.005,Pas_Arrondi))</f>
        <v>0</v>
      </c>
      <c r="Q471" s="22" t="n">
        <f aca="false">IF(OR($A471="",N(L471)=0),0,CEILING(L471*(1+IF($O471="",Taux_Paye,$O471))-0.005,Pas_Arrondi))</f>
        <v>0</v>
      </c>
      <c r="R471" s="22" t="n">
        <f aca="false">IF(OR($A471="",N(M471)=0),0,CEILING(M471*(1+IF($O471="",Taux_Jur,$O471))-0.005,Pas_Arrondi))</f>
        <v>0</v>
      </c>
      <c r="S471" s="22" t="n">
        <f aca="false">IF(OR($A471="",N(N471)=0),0,CEILING(N471*(1+IF($O471="",Taux_PA,$O471))-0.005,Pas_Arrondi))</f>
        <v>0</v>
      </c>
      <c r="T471" s="22" t="str">
        <f aca="false">IF($A471="","",SUM(K471:N471))</f>
        <v/>
      </c>
      <c r="U471" s="22" t="str">
        <f aca="false">IF($A471="","",SUM(P471:S471))</f>
        <v/>
      </c>
      <c r="V471" s="22" t="str">
        <f aca="false">IF($A471="","",U471-T471)</f>
        <v/>
      </c>
      <c r="W471" s="23" t="str">
        <f aca="false">IF(OR($A471="",N(T471)=0),"",V471/T471)</f>
        <v/>
      </c>
      <c r="X471" s="18"/>
      <c r="Y471" s="18"/>
    </row>
    <row r="472" customFormat="false" ht="15" hidden="false" customHeight="false" outlineLevel="0" collapsed="false">
      <c r="A472" s="18"/>
      <c r="B472" s="18"/>
      <c r="C472" s="18"/>
      <c r="D472" s="18"/>
      <c r="E472" s="18"/>
      <c r="F472" s="18"/>
      <c r="G472" s="18"/>
      <c r="H472" s="19"/>
      <c r="I472" s="18"/>
      <c r="J472" s="18"/>
      <c r="K472" s="20"/>
      <c r="L472" s="20"/>
      <c r="M472" s="20"/>
      <c r="N472" s="20"/>
      <c r="O472" s="21"/>
      <c r="P472" s="22" t="n">
        <f aca="false">IF(OR($A472="",N(K472)=0),0,CEILING(K472*(1+IF($O472="",Taux_Compta,$O472))-0.005,Pas_Arrondi))</f>
        <v>0</v>
      </c>
      <c r="Q472" s="22" t="n">
        <f aca="false">IF(OR($A472="",N(L472)=0),0,CEILING(L472*(1+IF($O472="",Taux_Paye,$O472))-0.005,Pas_Arrondi))</f>
        <v>0</v>
      </c>
      <c r="R472" s="22" t="n">
        <f aca="false">IF(OR($A472="",N(M472)=0),0,CEILING(M472*(1+IF($O472="",Taux_Jur,$O472))-0.005,Pas_Arrondi))</f>
        <v>0</v>
      </c>
      <c r="S472" s="22" t="n">
        <f aca="false">IF(OR($A472="",N(N472)=0),0,CEILING(N472*(1+IF($O472="",Taux_PA,$O472))-0.005,Pas_Arrondi))</f>
        <v>0</v>
      </c>
      <c r="T472" s="22" t="str">
        <f aca="false">IF($A472="","",SUM(K472:N472))</f>
        <v/>
      </c>
      <c r="U472" s="22" t="str">
        <f aca="false">IF($A472="","",SUM(P472:S472))</f>
        <v/>
      </c>
      <c r="V472" s="22" t="str">
        <f aca="false">IF($A472="","",U472-T472)</f>
        <v/>
      </c>
      <c r="W472" s="23" t="str">
        <f aca="false">IF(OR($A472="",N(T472)=0),"",V472/T472)</f>
        <v/>
      </c>
      <c r="X472" s="18"/>
      <c r="Y472" s="18"/>
    </row>
    <row r="473" customFormat="false" ht="15" hidden="false" customHeight="false" outlineLevel="0" collapsed="false">
      <c r="A473" s="18"/>
      <c r="B473" s="18"/>
      <c r="C473" s="18"/>
      <c r="D473" s="18"/>
      <c r="E473" s="18"/>
      <c r="F473" s="18"/>
      <c r="G473" s="18"/>
      <c r="H473" s="19"/>
      <c r="I473" s="18"/>
      <c r="J473" s="18"/>
      <c r="K473" s="20"/>
      <c r="L473" s="20"/>
      <c r="M473" s="20"/>
      <c r="N473" s="20"/>
      <c r="O473" s="21"/>
      <c r="P473" s="22" t="n">
        <f aca="false">IF(OR($A473="",N(K473)=0),0,CEILING(K473*(1+IF($O473="",Taux_Compta,$O473))-0.005,Pas_Arrondi))</f>
        <v>0</v>
      </c>
      <c r="Q473" s="22" t="n">
        <f aca="false">IF(OR($A473="",N(L473)=0),0,CEILING(L473*(1+IF($O473="",Taux_Paye,$O473))-0.005,Pas_Arrondi))</f>
        <v>0</v>
      </c>
      <c r="R473" s="22" t="n">
        <f aca="false">IF(OR($A473="",N(M473)=0),0,CEILING(M473*(1+IF($O473="",Taux_Jur,$O473))-0.005,Pas_Arrondi))</f>
        <v>0</v>
      </c>
      <c r="S473" s="22" t="n">
        <f aca="false">IF(OR($A473="",N(N473)=0),0,CEILING(N473*(1+IF($O473="",Taux_PA,$O473))-0.005,Pas_Arrondi))</f>
        <v>0</v>
      </c>
      <c r="T473" s="22" t="str">
        <f aca="false">IF($A473="","",SUM(K473:N473))</f>
        <v/>
      </c>
      <c r="U473" s="22" t="str">
        <f aca="false">IF($A473="","",SUM(P473:S473))</f>
        <v/>
      </c>
      <c r="V473" s="22" t="str">
        <f aca="false">IF($A473="","",U473-T473)</f>
        <v/>
      </c>
      <c r="W473" s="23" t="str">
        <f aca="false">IF(OR($A473="",N(T473)=0),"",V473/T473)</f>
        <v/>
      </c>
      <c r="X473" s="18"/>
      <c r="Y473" s="18"/>
    </row>
    <row r="474" customFormat="false" ht="15" hidden="false" customHeight="false" outlineLevel="0" collapsed="false">
      <c r="A474" s="18"/>
      <c r="B474" s="18"/>
      <c r="C474" s="18"/>
      <c r="D474" s="18"/>
      <c r="E474" s="18"/>
      <c r="F474" s="18"/>
      <c r="G474" s="18"/>
      <c r="H474" s="19"/>
      <c r="I474" s="18"/>
      <c r="J474" s="18"/>
      <c r="K474" s="20"/>
      <c r="L474" s="20"/>
      <c r="M474" s="20"/>
      <c r="N474" s="20"/>
      <c r="O474" s="21"/>
      <c r="P474" s="22" t="n">
        <f aca="false">IF(OR($A474="",N(K474)=0),0,CEILING(K474*(1+IF($O474="",Taux_Compta,$O474))-0.005,Pas_Arrondi))</f>
        <v>0</v>
      </c>
      <c r="Q474" s="22" t="n">
        <f aca="false">IF(OR($A474="",N(L474)=0),0,CEILING(L474*(1+IF($O474="",Taux_Paye,$O474))-0.005,Pas_Arrondi))</f>
        <v>0</v>
      </c>
      <c r="R474" s="22" t="n">
        <f aca="false">IF(OR($A474="",N(M474)=0),0,CEILING(M474*(1+IF($O474="",Taux_Jur,$O474))-0.005,Pas_Arrondi))</f>
        <v>0</v>
      </c>
      <c r="S474" s="22" t="n">
        <f aca="false">IF(OR($A474="",N(N474)=0),0,CEILING(N474*(1+IF($O474="",Taux_PA,$O474))-0.005,Pas_Arrondi))</f>
        <v>0</v>
      </c>
      <c r="T474" s="22" t="str">
        <f aca="false">IF($A474="","",SUM(K474:N474))</f>
        <v/>
      </c>
      <c r="U474" s="22" t="str">
        <f aca="false">IF($A474="","",SUM(P474:S474))</f>
        <v/>
      </c>
      <c r="V474" s="22" t="str">
        <f aca="false">IF($A474="","",U474-T474)</f>
        <v/>
      </c>
      <c r="W474" s="23" t="str">
        <f aca="false">IF(OR($A474="",N(T474)=0),"",V474/T474)</f>
        <v/>
      </c>
      <c r="X474" s="18"/>
      <c r="Y474" s="18"/>
    </row>
    <row r="475" customFormat="false" ht="15" hidden="false" customHeight="false" outlineLevel="0" collapsed="false">
      <c r="A475" s="18"/>
      <c r="B475" s="18"/>
      <c r="C475" s="18"/>
      <c r="D475" s="18"/>
      <c r="E475" s="18"/>
      <c r="F475" s="18"/>
      <c r="G475" s="18"/>
      <c r="H475" s="19"/>
      <c r="I475" s="18"/>
      <c r="J475" s="18"/>
      <c r="K475" s="20"/>
      <c r="L475" s="20"/>
      <c r="M475" s="20"/>
      <c r="N475" s="20"/>
      <c r="O475" s="21"/>
      <c r="P475" s="22" t="n">
        <f aca="false">IF(OR($A475="",N(K475)=0),0,CEILING(K475*(1+IF($O475="",Taux_Compta,$O475))-0.005,Pas_Arrondi))</f>
        <v>0</v>
      </c>
      <c r="Q475" s="22" t="n">
        <f aca="false">IF(OR($A475="",N(L475)=0),0,CEILING(L475*(1+IF($O475="",Taux_Paye,$O475))-0.005,Pas_Arrondi))</f>
        <v>0</v>
      </c>
      <c r="R475" s="22" t="n">
        <f aca="false">IF(OR($A475="",N(M475)=0),0,CEILING(M475*(1+IF($O475="",Taux_Jur,$O475))-0.005,Pas_Arrondi))</f>
        <v>0</v>
      </c>
      <c r="S475" s="22" t="n">
        <f aca="false">IF(OR($A475="",N(N475)=0),0,CEILING(N475*(1+IF($O475="",Taux_PA,$O475))-0.005,Pas_Arrondi))</f>
        <v>0</v>
      </c>
      <c r="T475" s="22" t="str">
        <f aca="false">IF($A475="","",SUM(K475:N475))</f>
        <v/>
      </c>
      <c r="U475" s="22" t="str">
        <f aca="false">IF($A475="","",SUM(P475:S475))</f>
        <v/>
      </c>
      <c r="V475" s="22" t="str">
        <f aca="false">IF($A475="","",U475-T475)</f>
        <v/>
      </c>
      <c r="W475" s="23" t="str">
        <f aca="false">IF(OR($A475="",N(T475)=0),"",V475/T475)</f>
        <v/>
      </c>
      <c r="X475" s="18"/>
      <c r="Y475" s="18"/>
    </row>
    <row r="476" customFormat="false" ht="15" hidden="false" customHeight="false" outlineLevel="0" collapsed="false">
      <c r="A476" s="18"/>
      <c r="B476" s="18"/>
      <c r="C476" s="18"/>
      <c r="D476" s="18"/>
      <c r="E476" s="18"/>
      <c r="F476" s="18"/>
      <c r="G476" s="18"/>
      <c r="H476" s="19"/>
      <c r="I476" s="18"/>
      <c r="J476" s="18"/>
      <c r="K476" s="20"/>
      <c r="L476" s="20"/>
      <c r="M476" s="20"/>
      <c r="N476" s="20"/>
      <c r="O476" s="21"/>
      <c r="P476" s="22" t="n">
        <f aca="false">IF(OR($A476="",N(K476)=0),0,CEILING(K476*(1+IF($O476="",Taux_Compta,$O476))-0.005,Pas_Arrondi))</f>
        <v>0</v>
      </c>
      <c r="Q476" s="22" t="n">
        <f aca="false">IF(OR($A476="",N(L476)=0),0,CEILING(L476*(1+IF($O476="",Taux_Paye,$O476))-0.005,Pas_Arrondi))</f>
        <v>0</v>
      </c>
      <c r="R476" s="22" t="n">
        <f aca="false">IF(OR($A476="",N(M476)=0),0,CEILING(M476*(1+IF($O476="",Taux_Jur,$O476))-0.005,Pas_Arrondi))</f>
        <v>0</v>
      </c>
      <c r="S476" s="22" t="n">
        <f aca="false">IF(OR($A476="",N(N476)=0),0,CEILING(N476*(1+IF($O476="",Taux_PA,$O476))-0.005,Pas_Arrondi))</f>
        <v>0</v>
      </c>
      <c r="T476" s="22" t="str">
        <f aca="false">IF($A476="","",SUM(K476:N476))</f>
        <v/>
      </c>
      <c r="U476" s="22" t="str">
        <f aca="false">IF($A476="","",SUM(P476:S476))</f>
        <v/>
      </c>
      <c r="V476" s="22" t="str">
        <f aca="false">IF($A476="","",U476-T476)</f>
        <v/>
      </c>
      <c r="W476" s="23" t="str">
        <f aca="false">IF(OR($A476="",N(T476)=0),"",V476/T476)</f>
        <v/>
      </c>
      <c r="X476" s="18"/>
      <c r="Y476" s="18"/>
    </row>
    <row r="477" customFormat="false" ht="15" hidden="false" customHeight="false" outlineLevel="0" collapsed="false">
      <c r="A477" s="18"/>
      <c r="B477" s="18"/>
      <c r="C477" s="18"/>
      <c r="D477" s="18"/>
      <c r="E477" s="18"/>
      <c r="F477" s="18"/>
      <c r="G477" s="18"/>
      <c r="H477" s="19"/>
      <c r="I477" s="18"/>
      <c r="J477" s="18"/>
      <c r="K477" s="20"/>
      <c r="L477" s="20"/>
      <c r="M477" s="20"/>
      <c r="N477" s="20"/>
      <c r="O477" s="21"/>
      <c r="P477" s="22" t="n">
        <f aca="false">IF(OR($A477="",N(K477)=0),0,CEILING(K477*(1+IF($O477="",Taux_Compta,$O477))-0.005,Pas_Arrondi))</f>
        <v>0</v>
      </c>
      <c r="Q477" s="22" t="n">
        <f aca="false">IF(OR($A477="",N(L477)=0),0,CEILING(L477*(1+IF($O477="",Taux_Paye,$O477))-0.005,Pas_Arrondi))</f>
        <v>0</v>
      </c>
      <c r="R477" s="22" t="n">
        <f aca="false">IF(OR($A477="",N(M477)=0),0,CEILING(M477*(1+IF($O477="",Taux_Jur,$O477))-0.005,Pas_Arrondi))</f>
        <v>0</v>
      </c>
      <c r="S477" s="22" t="n">
        <f aca="false">IF(OR($A477="",N(N477)=0),0,CEILING(N477*(1+IF($O477="",Taux_PA,$O477))-0.005,Pas_Arrondi))</f>
        <v>0</v>
      </c>
      <c r="T477" s="22" t="str">
        <f aca="false">IF($A477="","",SUM(K477:N477))</f>
        <v/>
      </c>
      <c r="U477" s="22" t="str">
        <f aca="false">IF($A477="","",SUM(P477:S477))</f>
        <v/>
      </c>
      <c r="V477" s="22" t="str">
        <f aca="false">IF($A477="","",U477-T477)</f>
        <v/>
      </c>
      <c r="W477" s="23" t="str">
        <f aca="false">IF(OR($A477="",N(T477)=0),"",V477/T477)</f>
        <v/>
      </c>
      <c r="X477" s="18"/>
      <c r="Y477" s="18"/>
    </row>
    <row r="478" customFormat="false" ht="15" hidden="false" customHeight="false" outlineLevel="0" collapsed="false">
      <c r="A478" s="18"/>
      <c r="B478" s="18"/>
      <c r="C478" s="18"/>
      <c r="D478" s="18"/>
      <c r="E478" s="18"/>
      <c r="F478" s="18"/>
      <c r="G478" s="18"/>
      <c r="H478" s="19"/>
      <c r="I478" s="18"/>
      <c r="J478" s="18"/>
      <c r="K478" s="20"/>
      <c r="L478" s="20"/>
      <c r="M478" s="20"/>
      <c r="N478" s="20"/>
      <c r="O478" s="21"/>
      <c r="P478" s="22" t="n">
        <f aca="false">IF(OR($A478="",N(K478)=0),0,CEILING(K478*(1+IF($O478="",Taux_Compta,$O478))-0.005,Pas_Arrondi))</f>
        <v>0</v>
      </c>
      <c r="Q478" s="22" t="n">
        <f aca="false">IF(OR($A478="",N(L478)=0),0,CEILING(L478*(1+IF($O478="",Taux_Paye,$O478))-0.005,Pas_Arrondi))</f>
        <v>0</v>
      </c>
      <c r="R478" s="22" t="n">
        <f aca="false">IF(OR($A478="",N(M478)=0),0,CEILING(M478*(1+IF($O478="",Taux_Jur,$O478))-0.005,Pas_Arrondi))</f>
        <v>0</v>
      </c>
      <c r="S478" s="22" t="n">
        <f aca="false">IF(OR($A478="",N(N478)=0),0,CEILING(N478*(1+IF($O478="",Taux_PA,$O478))-0.005,Pas_Arrondi))</f>
        <v>0</v>
      </c>
      <c r="T478" s="22" t="str">
        <f aca="false">IF($A478="","",SUM(K478:N478))</f>
        <v/>
      </c>
      <c r="U478" s="22" t="str">
        <f aca="false">IF($A478="","",SUM(P478:S478))</f>
        <v/>
      </c>
      <c r="V478" s="22" t="str">
        <f aca="false">IF($A478="","",U478-T478)</f>
        <v/>
      </c>
      <c r="W478" s="23" t="str">
        <f aca="false">IF(OR($A478="",N(T478)=0),"",V478/T478)</f>
        <v/>
      </c>
      <c r="X478" s="18"/>
      <c r="Y478" s="18"/>
    </row>
    <row r="479" customFormat="false" ht="15" hidden="false" customHeight="false" outlineLevel="0" collapsed="false">
      <c r="A479" s="18"/>
      <c r="B479" s="18"/>
      <c r="C479" s="18"/>
      <c r="D479" s="18"/>
      <c r="E479" s="18"/>
      <c r="F479" s="18"/>
      <c r="G479" s="18"/>
      <c r="H479" s="19"/>
      <c r="I479" s="18"/>
      <c r="J479" s="18"/>
      <c r="K479" s="20"/>
      <c r="L479" s="20"/>
      <c r="M479" s="20"/>
      <c r="N479" s="20"/>
      <c r="O479" s="21"/>
      <c r="P479" s="22" t="n">
        <f aca="false">IF(OR($A479="",N(K479)=0),0,CEILING(K479*(1+IF($O479="",Taux_Compta,$O479))-0.005,Pas_Arrondi))</f>
        <v>0</v>
      </c>
      <c r="Q479" s="22" t="n">
        <f aca="false">IF(OR($A479="",N(L479)=0),0,CEILING(L479*(1+IF($O479="",Taux_Paye,$O479))-0.005,Pas_Arrondi))</f>
        <v>0</v>
      </c>
      <c r="R479" s="22" t="n">
        <f aca="false">IF(OR($A479="",N(M479)=0),0,CEILING(M479*(1+IF($O479="",Taux_Jur,$O479))-0.005,Pas_Arrondi))</f>
        <v>0</v>
      </c>
      <c r="S479" s="22" t="n">
        <f aca="false">IF(OR($A479="",N(N479)=0),0,CEILING(N479*(1+IF($O479="",Taux_PA,$O479))-0.005,Pas_Arrondi))</f>
        <v>0</v>
      </c>
      <c r="T479" s="22" t="str">
        <f aca="false">IF($A479="","",SUM(K479:N479))</f>
        <v/>
      </c>
      <c r="U479" s="22" t="str">
        <f aca="false">IF($A479="","",SUM(P479:S479))</f>
        <v/>
      </c>
      <c r="V479" s="22" t="str">
        <f aca="false">IF($A479="","",U479-T479)</f>
        <v/>
      </c>
      <c r="W479" s="23" t="str">
        <f aca="false">IF(OR($A479="",N(T479)=0),"",V479/T479)</f>
        <v/>
      </c>
      <c r="X479" s="18"/>
      <c r="Y479" s="18"/>
    </row>
    <row r="480" customFormat="false" ht="15" hidden="false" customHeight="false" outlineLevel="0" collapsed="false">
      <c r="A480" s="18"/>
      <c r="B480" s="18"/>
      <c r="C480" s="18"/>
      <c r="D480" s="18"/>
      <c r="E480" s="18"/>
      <c r="F480" s="18"/>
      <c r="G480" s="18"/>
      <c r="H480" s="19"/>
      <c r="I480" s="18"/>
      <c r="J480" s="18"/>
      <c r="K480" s="20"/>
      <c r="L480" s="20"/>
      <c r="M480" s="20"/>
      <c r="N480" s="20"/>
      <c r="O480" s="21"/>
      <c r="P480" s="22" t="n">
        <f aca="false">IF(OR($A480="",N(K480)=0),0,CEILING(K480*(1+IF($O480="",Taux_Compta,$O480))-0.005,Pas_Arrondi))</f>
        <v>0</v>
      </c>
      <c r="Q480" s="22" t="n">
        <f aca="false">IF(OR($A480="",N(L480)=0),0,CEILING(L480*(1+IF($O480="",Taux_Paye,$O480))-0.005,Pas_Arrondi))</f>
        <v>0</v>
      </c>
      <c r="R480" s="22" t="n">
        <f aca="false">IF(OR($A480="",N(M480)=0),0,CEILING(M480*(1+IF($O480="",Taux_Jur,$O480))-0.005,Pas_Arrondi))</f>
        <v>0</v>
      </c>
      <c r="S480" s="22" t="n">
        <f aca="false">IF(OR($A480="",N(N480)=0),0,CEILING(N480*(1+IF($O480="",Taux_PA,$O480))-0.005,Pas_Arrondi))</f>
        <v>0</v>
      </c>
      <c r="T480" s="22" t="str">
        <f aca="false">IF($A480="","",SUM(K480:N480))</f>
        <v/>
      </c>
      <c r="U480" s="22" t="str">
        <f aca="false">IF($A480="","",SUM(P480:S480))</f>
        <v/>
      </c>
      <c r="V480" s="22" t="str">
        <f aca="false">IF($A480="","",U480-T480)</f>
        <v/>
      </c>
      <c r="W480" s="23" t="str">
        <f aca="false">IF(OR($A480="",N(T480)=0),"",V480/T480)</f>
        <v/>
      </c>
      <c r="X480" s="18"/>
      <c r="Y480" s="18"/>
    </row>
    <row r="481" customFormat="false" ht="15" hidden="false" customHeight="false" outlineLevel="0" collapsed="false">
      <c r="A481" s="18"/>
      <c r="B481" s="18"/>
      <c r="C481" s="18"/>
      <c r="D481" s="18"/>
      <c r="E481" s="18"/>
      <c r="F481" s="18"/>
      <c r="G481" s="18"/>
      <c r="H481" s="19"/>
      <c r="I481" s="18"/>
      <c r="J481" s="18"/>
      <c r="K481" s="20"/>
      <c r="L481" s="20"/>
      <c r="M481" s="20"/>
      <c r="N481" s="20"/>
      <c r="O481" s="21"/>
      <c r="P481" s="22" t="n">
        <f aca="false">IF(OR($A481="",N(K481)=0),0,CEILING(K481*(1+IF($O481="",Taux_Compta,$O481))-0.005,Pas_Arrondi))</f>
        <v>0</v>
      </c>
      <c r="Q481" s="22" t="n">
        <f aca="false">IF(OR($A481="",N(L481)=0),0,CEILING(L481*(1+IF($O481="",Taux_Paye,$O481))-0.005,Pas_Arrondi))</f>
        <v>0</v>
      </c>
      <c r="R481" s="22" t="n">
        <f aca="false">IF(OR($A481="",N(M481)=0),0,CEILING(M481*(1+IF($O481="",Taux_Jur,$O481))-0.005,Pas_Arrondi))</f>
        <v>0</v>
      </c>
      <c r="S481" s="22" t="n">
        <f aca="false">IF(OR($A481="",N(N481)=0),0,CEILING(N481*(1+IF($O481="",Taux_PA,$O481))-0.005,Pas_Arrondi))</f>
        <v>0</v>
      </c>
      <c r="T481" s="22" t="str">
        <f aca="false">IF($A481="","",SUM(K481:N481))</f>
        <v/>
      </c>
      <c r="U481" s="22" t="str">
        <f aca="false">IF($A481="","",SUM(P481:S481))</f>
        <v/>
      </c>
      <c r="V481" s="22" t="str">
        <f aca="false">IF($A481="","",U481-T481)</f>
        <v/>
      </c>
      <c r="W481" s="23" t="str">
        <f aca="false">IF(OR($A481="",N(T481)=0),"",V481/T481)</f>
        <v/>
      </c>
      <c r="X481" s="18"/>
      <c r="Y481" s="18"/>
    </row>
    <row r="482" customFormat="false" ht="15" hidden="false" customHeight="false" outlineLevel="0" collapsed="false">
      <c r="A482" s="18"/>
      <c r="B482" s="18"/>
      <c r="C482" s="18"/>
      <c r="D482" s="18"/>
      <c r="E482" s="18"/>
      <c r="F482" s="18"/>
      <c r="G482" s="18"/>
      <c r="H482" s="19"/>
      <c r="I482" s="18"/>
      <c r="J482" s="18"/>
      <c r="K482" s="20"/>
      <c r="L482" s="20"/>
      <c r="M482" s="20"/>
      <c r="N482" s="20"/>
      <c r="O482" s="21"/>
      <c r="P482" s="22" t="n">
        <f aca="false">IF(OR($A482="",N(K482)=0),0,CEILING(K482*(1+IF($O482="",Taux_Compta,$O482))-0.005,Pas_Arrondi))</f>
        <v>0</v>
      </c>
      <c r="Q482" s="22" t="n">
        <f aca="false">IF(OR($A482="",N(L482)=0),0,CEILING(L482*(1+IF($O482="",Taux_Paye,$O482))-0.005,Pas_Arrondi))</f>
        <v>0</v>
      </c>
      <c r="R482" s="22" t="n">
        <f aca="false">IF(OR($A482="",N(M482)=0),0,CEILING(M482*(1+IF($O482="",Taux_Jur,$O482))-0.005,Pas_Arrondi))</f>
        <v>0</v>
      </c>
      <c r="S482" s="22" t="n">
        <f aca="false">IF(OR($A482="",N(N482)=0),0,CEILING(N482*(1+IF($O482="",Taux_PA,$O482))-0.005,Pas_Arrondi))</f>
        <v>0</v>
      </c>
      <c r="T482" s="22" t="str">
        <f aca="false">IF($A482="","",SUM(K482:N482))</f>
        <v/>
      </c>
      <c r="U482" s="22" t="str">
        <f aca="false">IF($A482="","",SUM(P482:S482))</f>
        <v/>
      </c>
      <c r="V482" s="22" t="str">
        <f aca="false">IF($A482="","",U482-T482)</f>
        <v/>
      </c>
      <c r="W482" s="23" t="str">
        <f aca="false">IF(OR($A482="",N(T482)=0),"",V482/T482)</f>
        <v/>
      </c>
      <c r="X482" s="18"/>
      <c r="Y482" s="18"/>
    </row>
    <row r="483" customFormat="false" ht="15" hidden="false" customHeight="false" outlineLevel="0" collapsed="false">
      <c r="A483" s="18"/>
      <c r="B483" s="18"/>
      <c r="C483" s="18"/>
      <c r="D483" s="18"/>
      <c r="E483" s="18"/>
      <c r="F483" s="18"/>
      <c r="G483" s="18"/>
      <c r="H483" s="19"/>
      <c r="I483" s="18"/>
      <c r="J483" s="18"/>
      <c r="K483" s="20"/>
      <c r="L483" s="20"/>
      <c r="M483" s="20"/>
      <c r="N483" s="20"/>
      <c r="O483" s="21"/>
      <c r="P483" s="22" t="n">
        <f aca="false">IF(OR($A483="",N(K483)=0),0,CEILING(K483*(1+IF($O483="",Taux_Compta,$O483))-0.005,Pas_Arrondi))</f>
        <v>0</v>
      </c>
      <c r="Q483" s="22" t="n">
        <f aca="false">IF(OR($A483="",N(L483)=0),0,CEILING(L483*(1+IF($O483="",Taux_Paye,$O483))-0.005,Pas_Arrondi))</f>
        <v>0</v>
      </c>
      <c r="R483" s="22" t="n">
        <f aca="false">IF(OR($A483="",N(M483)=0),0,CEILING(M483*(1+IF($O483="",Taux_Jur,$O483))-0.005,Pas_Arrondi))</f>
        <v>0</v>
      </c>
      <c r="S483" s="22" t="n">
        <f aca="false">IF(OR($A483="",N(N483)=0),0,CEILING(N483*(1+IF($O483="",Taux_PA,$O483))-0.005,Pas_Arrondi))</f>
        <v>0</v>
      </c>
      <c r="T483" s="22" t="str">
        <f aca="false">IF($A483="","",SUM(K483:N483))</f>
        <v/>
      </c>
      <c r="U483" s="22" t="str">
        <f aca="false">IF($A483="","",SUM(P483:S483))</f>
        <v/>
      </c>
      <c r="V483" s="22" t="str">
        <f aca="false">IF($A483="","",U483-T483)</f>
        <v/>
      </c>
      <c r="W483" s="23" t="str">
        <f aca="false">IF(OR($A483="",N(T483)=0),"",V483/T483)</f>
        <v/>
      </c>
      <c r="X483" s="18"/>
      <c r="Y483" s="18"/>
    </row>
    <row r="484" customFormat="false" ht="15" hidden="false" customHeight="false" outlineLevel="0" collapsed="false">
      <c r="A484" s="18"/>
      <c r="B484" s="18"/>
      <c r="C484" s="18"/>
      <c r="D484" s="18"/>
      <c r="E484" s="18"/>
      <c r="F484" s="18"/>
      <c r="G484" s="18"/>
      <c r="H484" s="19"/>
      <c r="I484" s="18"/>
      <c r="J484" s="18"/>
      <c r="K484" s="20"/>
      <c r="L484" s="20"/>
      <c r="M484" s="20"/>
      <c r="N484" s="20"/>
      <c r="O484" s="21"/>
      <c r="P484" s="22" t="n">
        <f aca="false">IF(OR($A484="",N(K484)=0),0,CEILING(K484*(1+IF($O484="",Taux_Compta,$O484))-0.005,Pas_Arrondi))</f>
        <v>0</v>
      </c>
      <c r="Q484" s="22" t="n">
        <f aca="false">IF(OR($A484="",N(L484)=0),0,CEILING(L484*(1+IF($O484="",Taux_Paye,$O484))-0.005,Pas_Arrondi))</f>
        <v>0</v>
      </c>
      <c r="R484" s="22" t="n">
        <f aca="false">IF(OR($A484="",N(M484)=0),0,CEILING(M484*(1+IF($O484="",Taux_Jur,$O484))-0.005,Pas_Arrondi))</f>
        <v>0</v>
      </c>
      <c r="S484" s="22" t="n">
        <f aca="false">IF(OR($A484="",N(N484)=0),0,CEILING(N484*(1+IF($O484="",Taux_PA,$O484))-0.005,Pas_Arrondi))</f>
        <v>0</v>
      </c>
      <c r="T484" s="22" t="str">
        <f aca="false">IF($A484="","",SUM(K484:N484))</f>
        <v/>
      </c>
      <c r="U484" s="22" t="str">
        <f aca="false">IF($A484="","",SUM(P484:S484))</f>
        <v/>
      </c>
      <c r="V484" s="22" t="str">
        <f aca="false">IF($A484="","",U484-T484)</f>
        <v/>
      </c>
      <c r="W484" s="23" t="str">
        <f aca="false">IF(OR($A484="",N(T484)=0),"",V484/T484)</f>
        <v/>
      </c>
      <c r="X484" s="18"/>
      <c r="Y484" s="18"/>
    </row>
    <row r="485" customFormat="false" ht="15" hidden="false" customHeight="false" outlineLevel="0" collapsed="false">
      <c r="A485" s="18"/>
      <c r="B485" s="18"/>
      <c r="C485" s="18"/>
      <c r="D485" s="18"/>
      <c r="E485" s="18"/>
      <c r="F485" s="18"/>
      <c r="G485" s="18"/>
      <c r="H485" s="19"/>
      <c r="I485" s="18"/>
      <c r="J485" s="18"/>
      <c r="K485" s="20"/>
      <c r="L485" s="20"/>
      <c r="M485" s="20"/>
      <c r="N485" s="20"/>
      <c r="O485" s="21"/>
      <c r="P485" s="22" t="n">
        <f aca="false">IF(OR($A485="",N(K485)=0),0,CEILING(K485*(1+IF($O485="",Taux_Compta,$O485))-0.005,Pas_Arrondi))</f>
        <v>0</v>
      </c>
      <c r="Q485" s="22" t="n">
        <f aca="false">IF(OR($A485="",N(L485)=0),0,CEILING(L485*(1+IF($O485="",Taux_Paye,$O485))-0.005,Pas_Arrondi))</f>
        <v>0</v>
      </c>
      <c r="R485" s="22" t="n">
        <f aca="false">IF(OR($A485="",N(M485)=0),0,CEILING(M485*(1+IF($O485="",Taux_Jur,$O485))-0.005,Pas_Arrondi))</f>
        <v>0</v>
      </c>
      <c r="S485" s="22" t="n">
        <f aca="false">IF(OR($A485="",N(N485)=0),0,CEILING(N485*(1+IF($O485="",Taux_PA,$O485))-0.005,Pas_Arrondi))</f>
        <v>0</v>
      </c>
      <c r="T485" s="22" t="str">
        <f aca="false">IF($A485="","",SUM(K485:N485))</f>
        <v/>
      </c>
      <c r="U485" s="22" t="str">
        <f aca="false">IF($A485="","",SUM(P485:S485))</f>
        <v/>
      </c>
      <c r="V485" s="22" t="str">
        <f aca="false">IF($A485="","",U485-T485)</f>
        <v/>
      </c>
      <c r="W485" s="23" t="str">
        <f aca="false">IF(OR($A485="",N(T485)=0),"",V485/T485)</f>
        <v/>
      </c>
      <c r="X485" s="18"/>
      <c r="Y485" s="18"/>
    </row>
    <row r="486" customFormat="false" ht="15" hidden="false" customHeight="false" outlineLevel="0" collapsed="false">
      <c r="A486" s="18"/>
      <c r="B486" s="18"/>
      <c r="C486" s="18"/>
      <c r="D486" s="18"/>
      <c r="E486" s="18"/>
      <c r="F486" s="18"/>
      <c r="G486" s="18"/>
      <c r="H486" s="19"/>
      <c r="I486" s="18"/>
      <c r="J486" s="18"/>
      <c r="K486" s="20"/>
      <c r="L486" s="20"/>
      <c r="M486" s="20"/>
      <c r="N486" s="20"/>
      <c r="O486" s="21"/>
      <c r="P486" s="22" t="n">
        <f aca="false">IF(OR($A486="",N(K486)=0),0,CEILING(K486*(1+IF($O486="",Taux_Compta,$O486))-0.005,Pas_Arrondi))</f>
        <v>0</v>
      </c>
      <c r="Q486" s="22" t="n">
        <f aca="false">IF(OR($A486="",N(L486)=0),0,CEILING(L486*(1+IF($O486="",Taux_Paye,$O486))-0.005,Pas_Arrondi))</f>
        <v>0</v>
      </c>
      <c r="R486" s="22" t="n">
        <f aca="false">IF(OR($A486="",N(M486)=0),0,CEILING(M486*(1+IF($O486="",Taux_Jur,$O486))-0.005,Pas_Arrondi))</f>
        <v>0</v>
      </c>
      <c r="S486" s="22" t="n">
        <f aca="false">IF(OR($A486="",N(N486)=0),0,CEILING(N486*(1+IF($O486="",Taux_PA,$O486))-0.005,Pas_Arrondi))</f>
        <v>0</v>
      </c>
      <c r="T486" s="22" t="str">
        <f aca="false">IF($A486="","",SUM(K486:N486))</f>
        <v/>
      </c>
      <c r="U486" s="22" t="str">
        <f aca="false">IF($A486="","",SUM(P486:S486))</f>
        <v/>
      </c>
      <c r="V486" s="22" t="str">
        <f aca="false">IF($A486="","",U486-T486)</f>
        <v/>
      </c>
      <c r="W486" s="23" t="str">
        <f aca="false">IF(OR($A486="",N(T486)=0),"",V486/T486)</f>
        <v/>
      </c>
      <c r="X486" s="18"/>
      <c r="Y486" s="18"/>
    </row>
    <row r="487" customFormat="false" ht="15" hidden="false" customHeight="false" outlineLevel="0" collapsed="false">
      <c r="A487" s="18"/>
      <c r="B487" s="18"/>
      <c r="C487" s="18"/>
      <c r="D487" s="18"/>
      <c r="E487" s="18"/>
      <c r="F487" s="18"/>
      <c r="G487" s="18"/>
      <c r="H487" s="19"/>
      <c r="I487" s="18"/>
      <c r="J487" s="18"/>
      <c r="K487" s="20"/>
      <c r="L487" s="20"/>
      <c r="M487" s="20"/>
      <c r="N487" s="20"/>
      <c r="O487" s="21"/>
      <c r="P487" s="22" t="n">
        <f aca="false">IF(OR($A487="",N(K487)=0),0,CEILING(K487*(1+IF($O487="",Taux_Compta,$O487))-0.005,Pas_Arrondi))</f>
        <v>0</v>
      </c>
      <c r="Q487" s="22" t="n">
        <f aca="false">IF(OR($A487="",N(L487)=0),0,CEILING(L487*(1+IF($O487="",Taux_Paye,$O487))-0.005,Pas_Arrondi))</f>
        <v>0</v>
      </c>
      <c r="R487" s="22" t="n">
        <f aca="false">IF(OR($A487="",N(M487)=0),0,CEILING(M487*(1+IF($O487="",Taux_Jur,$O487))-0.005,Pas_Arrondi))</f>
        <v>0</v>
      </c>
      <c r="S487" s="22" t="n">
        <f aca="false">IF(OR($A487="",N(N487)=0),0,CEILING(N487*(1+IF($O487="",Taux_PA,$O487))-0.005,Pas_Arrondi))</f>
        <v>0</v>
      </c>
      <c r="T487" s="22" t="str">
        <f aca="false">IF($A487="","",SUM(K487:N487))</f>
        <v/>
      </c>
      <c r="U487" s="22" t="str">
        <f aca="false">IF($A487="","",SUM(P487:S487))</f>
        <v/>
      </c>
      <c r="V487" s="22" t="str">
        <f aca="false">IF($A487="","",U487-T487)</f>
        <v/>
      </c>
      <c r="W487" s="23" t="str">
        <f aca="false">IF(OR($A487="",N(T487)=0),"",V487/T487)</f>
        <v/>
      </c>
      <c r="X487" s="18"/>
      <c r="Y487" s="18"/>
    </row>
    <row r="488" customFormat="false" ht="15" hidden="false" customHeight="false" outlineLevel="0" collapsed="false">
      <c r="A488" s="18"/>
      <c r="B488" s="18"/>
      <c r="C488" s="18"/>
      <c r="D488" s="18"/>
      <c r="E488" s="18"/>
      <c r="F488" s="18"/>
      <c r="G488" s="18"/>
      <c r="H488" s="19"/>
      <c r="I488" s="18"/>
      <c r="J488" s="18"/>
      <c r="K488" s="20"/>
      <c r="L488" s="20"/>
      <c r="M488" s="20"/>
      <c r="N488" s="20"/>
      <c r="O488" s="21"/>
      <c r="P488" s="22" t="n">
        <f aca="false">IF(OR($A488="",N(K488)=0),0,CEILING(K488*(1+IF($O488="",Taux_Compta,$O488))-0.005,Pas_Arrondi))</f>
        <v>0</v>
      </c>
      <c r="Q488" s="22" t="n">
        <f aca="false">IF(OR($A488="",N(L488)=0),0,CEILING(L488*(1+IF($O488="",Taux_Paye,$O488))-0.005,Pas_Arrondi))</f>
        <v>0</v>
      </c>
      <c r="R488" s="22" t="n">
        <f aca="false">IF(OR($A488="",N(M488)=0),0,CEILING(M488*(1+IF($O488="",Taux_Jur,$O488))-0.005,Pas_Arrondi))</f>
        <v>0</v>
      </c>
      <c r="S488" s="22" t="n">
        <f aca="false">IF(OR($A488="",N(N488)=0),0,CEILING(N488*(1+IF($O488="",Taux_PA,$O488))-0.005,Pas_Arrondi))</f>
        <v>0</v>
      </c>
      <c r="T488" s="22" t="str">
        <f aca="false">IF($A488="","",SUM(K488:N488))</f>
        <v/>
      </c>
      <c r="U488" s="22" t="str">
        <f aca="false">IF($A488="","",SUM(P488:S488))</f>
        <v/>
      </c>
      <c r="V488" s="22" t="str">
        <f aca="false">IF($A488="","",U488-T488)</f>
        <v/>
      </c>
      <c r="W488" s="23" t="str">
        <f aca="false">IF(OR($A488="",N(T488)=0),"",V488/T488)</f>
        <v/>
      </c>
      <c r="X488" s="18"/>
      <c r="Y488" s="18"/>
    </row>
    <row r="489" customFormat="false" ht="15" hidden="false" customHeight="false" outlineLevel="0" collapsed="false">
      <c r="A489" s="18"/>
      <c r="B489" s="18"/>
      <c r="C489" s="18"/>
      <c r="D489" s="18"/>
      <c r="E489" s="18"/>
      <c r="F489" s="18"/>
      <c r="G489" s="18"/>
      <c r="H489" s="19"/>
      <c r="I489" s="18"/>
      <c r="J489" s="18"/>
      <c r="K489" s="20"/>
      <c r="L489" s="20"/>
      <c r="M489" s="20"/>
      <c r="N489" s="20"/>
      <c r="O489" s="21"/>
      <c r="P489" s="22" t="n">
        <f aca="false">IF(OR($A489="",N(K489)=0),0,CEILING(K489*(1+IF($O489="",Taux_Compta,$O489))-0.005,Pas_Arrondi))</f>
        <v>0</v>
      </c>
      <c r="Q489" s="22" t="n">
        <f aca="false">IF(OR($A489="",N(L489)=0),0,CEILING(L489*(1+IF($O489="",Taux_Paye,$O489))-0.005,Pas_Arrondi))</f>
        <v>0</v>
      </c>
      <c r="R489" s="22" t="n">
        <f aca="false">IF(OR($A489="",N(M489)=0),0,CEILING(M489*(1+IF($O489="",Taux_Jur,$O489))-0.005,Pas_Arrondi))</f>
        <v>0</v>
      </c>
      <c r="S489" s="22" t="n">
        <f aca="false">IF(OR($A489="",N(N489)=0),0,CEILING(N489*(1+IF($O489="",Taux_PA,$O489))-0.005,Pas_Arrondi))</f>
        <v>0</v>
      </c>
      <c r="T489" s="22" t="str">
        <f aca="false">IF($A489="","",SUM(K489:N489))</f>
        <v/>
      </c>
      <c r="U489" s="22" t="str">
        <f aca="false">IF($A489="","",SUM(P489:S489))</f>
        <v/>
      </c>
      <c r="V489" s="22" t="str">
        <f aca="false">IF($A489="","",U489-T489)</f>
        <v/>
      </c>
      <c r="W489" s="23" t="str">
        <f aca="false">IF(OR($A489="",N(T489)=0),"",V489/T489)</f>
        <v/>
      </c>
      <c r="X489" s="18"/>
      <c r="Y489" s="18"/>
    </row>
    <row r="490" customFormat="false" ht="15" hidden="false" customHeight="false" outlineLevel="0" collapsed="false">
      <c r="A490" s="18"/>
      <c r="B490" s="18"/>
      <c r="C490" s="18"/>
      <c r="D490" s="18"/>
      <c r="E490" s="18"/>
      <c r="F490" s="18"/>
      <c r="G490" s="18"/>
      <c r="H490" s="19"/>
      <c r="I490" s="18"/>
      <c r="J490" s="18"/>
      <c r="K490" s="20"/>
      <c r="L490" s="20"/>
      <c r="M490" s="20"/>
      <c r="N490" s="20"/>
      <c r="O490" s="21"/>
      <c r="P490" s="22" t="n">
        <f aca="false">IF(OR($A490="",N(K490)=0),0,CEILING(K490*(1+IF($O490="",Taux_Compta,$O490))-0.005,Pas_Arrondi))</f>
        <v>0</v>
      </c>
      <c r="Q490" s="22" t="n">
        <f aca="false">IF(OR($A490="",N(L490)=0),0,CEILING(L490*(1+IF($O490="",Taux_Paye,$O490))-0.005,Pas_Arrondi))</f>
        <v>0</v>
      </c>
      <c r="R490" s="22" t="n">
        <f aca="false">IF(OR($A490="",N(M490)=0),0,CEILING(M490*(1+IF($O490="",Taux_Jur,$O490))-0.005,Pas_Arrondi))</f>
        <v>0</v>
      </c>
      <c r="S490" s="22" t="n">
        <f aca="false">IF(OR($A490="",N(N490)=0),0,CEILING(N490*(1+IF($O490="",Taux_PA,$O490))-0.005,Pas_Arrondi))</f>
        <v>0</v>
      </c>
      <c r="T490" s="22" t="str">
        <f aca="false">IF($A490="","",SUM(K490:N490))</f>
        <v/>
      </c>
      <c r="U490" s="22" t="str">
        <f aca="false">IF($A490="","",SUM(P490:S490))</f>
        <v/>
      </c>
      <c r="V490" s="22" t="str">
        <f aca="false">IF($A490="","",U490-T490)</f>
        <v/>
      </c>
      <c r="W490" s="23" t="str">
        <f aca="false">IF(OR($A490="",N(T490)=0),"",V490/T490)</f>
        <v/>
      </c>
      <c r="X490" s="18"/>
      <c r="Y490" s="18"/>
    </row>
    <row r="491" customFormat="false" ht="15" hidden="false" customHeight="false" outlineLevel="0" collapsed="false">
      <c r="A491" s="18"/>
      <c r="B491" s="18"/>
      <c r="C491" s="18"/>
      <c r="D491" s="18"/>
      <c r="E491" s="18"/>
      <c r="F491" s="18"/>
      <c r="G491" s="18"/>
      <c r="H491" s="19"/>
      <c r="I491" s="18"/>
      <c r="J491" s="18"/>
      <c r="K491" s="20"/>
      <c r="L491" s="20"/>
      <c r="M491" s="20"/>
      <c r="N491" s="20"/>
      <c r="O491" s="21"/>
      <c r="P491" s="22" t="n">
        <f aca="false">IF(OR($A491="",N(K491)=0),0,CEILING(K491*(1+IF($O491="",Taux_Compta,$O491))-0.005,Pas_Arrondi))</f>
        <v>0</v>
      </c>
      <c r="Q491" s="22" t="n">
        <f aca="false">IF(OR($A491="",N(L491)=0),0,CEILING(L491*(1+IF($O491="",Taux_Paye,$O491))-0.005,Pas_Arrondi))</f>
        <v>0</v>
      </c>
      <c r="R491" s="22" t="n">
        <f aca="false">IF(OR($A491="",N(M491)=0),0,CEILING(M491*(1+IF($O491="",Taux_Jur,$O491))-0.005,Pas_Arrondi))</f>
        <v>0</v>
      </c>
      <c r="S491" s="22" t="n">
        <f aca="false">IF(OR($A491="",N(N491)=0),0,CEILING(N491*(1+IF($O491="",Taux_PA,$O491))-0.005,Pas_Arrondi))</f>
        <v>0</v>
      </c>
      <c r="T491" s="22" t="str">
        <f aca="false">IF($A491="","",SUM(K491:N491))</f>
        <v/>
      </c>
      <c r="U491" s="22" t="str">
        <f aca="false">IF($A491="","",SUM(P491:S491))</f>
        <v/>
      </c>
      <c r="V491" s="22" t="str">
        <f aca="false">IF($A491="","",U491-T491)</f>
        <v/>
      </c>
      <c r="W491" s="23" t="str">
        <f aca="false">IF(OR($A491="",N(T491)=0),"",V491/T491)</f>
        <v/>
      </c>
      <c r="X491" s="18"/>
      <c r="Y491" s="18"/>
    </row>
    <row r="492" customFormat="false" ht="15" hidden="false" customHeight="false" outlineLevel="0" collapsed="false">
      <c r="A492" s="18"/>
      <c r="B492" s="18"/>
      <c r="C492" s="18"/>
      <c r="D492" s="18"/>
      <c r="E492" s="18"/>
      <c r="F492" s="18"/>
      <c r="G492" s="18"/>
      <c r="H492" s="19"/>
      <c r="I492" s="18"/>
      <c r="J492" s="18"/>
      <c r="K492" s="20"/>
      <c r="L492" s="20"/>
      <c r="M492" s="20"/>
      <c r="N492" s="20"/>
      <c r="O492" s="21"/>
      <c r="P492" s="22" t="n">
        <f aca="false">IF(OR($A492="",N(K492)=0),0,CEILING(K492*(1+IF($O492="",Taux_Compta,$O492))-0.005,Pas_Arrondi))</f>
        <v>0</v>
      </c>
      <c r="Q492" s="22" t="n">
        <f aca="false">IF(OR($A492="",N(L492)=0),0,CEILING(L492*(1+IF($O492="",Taux_Paye,$O492))-0.005,Pas_Arrondi))</f>
        <v>0</v>
      </c>
      <c r="R492" s="22" t="n">
        <f aca="false">IF(OR($A492="",N(M492)=0),0,CEILING(M492*(1+IF($O492="",Taux_Jur,$O492))-0.005,Pas_Arrondi))</f>
        <v>0</v>
      </c>
      <c r="S492" s="22" t="n">
        <f aca="false">IF(OR($A492="",N(N492)=0),0,CEILING(N492*(1+IF($O492="",Taux_PA,$O492))-0.005,Pas_Arrondi))</f>
        <v>0</v>
      </c>
      <c r="T492" s="22" t="str">
        <f aca="false">IF($A492="","",SUM(K492:N492))</f>
        <v/>
      </c>
      <c r="U492" s="22" t="str">
        <f aca="false">IF($A492="","",SUM(P492:S492))</f>
        <v/>
      </c>
      <c r="V492" s="22" t="str">
        <f aca="false">IF($A492="","",U492-T492)</f>
        <v/>
      </c>
      <c r="W492" s="23" t="str">
        <f aca="false">IF(OR($A492="",N(T492)=0),"",V492/T492)</f>
        <v/>
      </c>
      <c r="X492" s="18"/>
      <c r="Y492" s="18"/>
    </row>
    <row r="493" customFormat="false" ht="15" hidden="false" customHeight="false" outlineLevel="0" collapsed="false">
      <c r="A493" s="18"/>
      <c r="B493" s="18"/>
      <c r="C493" s="18"/>
      <c r="D493" s="18"/>
      <c r="E493" s="18"/>
      <c r="F493" s="18"/>
      <c r="G493" s="18"/>
      <c r="H493" s="19"/>
      <c r="I493" s="18"/>
      <c r="J493" s="18"/>
      <c r="K493" s="20"/>
      <c r="L493" s="20"/>
      <c r="M493" s="20"/>
      <c r="N493" s="20"/>
      <c r="O493" s="21"/>
      <c r="P493" s="22" t="n">
        <f aca="false">IF(OR($A493="",N(K493)=0),0,CEILING(K493*(1+IF($O493="",Taux_Compta,$O493))-0.005,Pas_Arrondi))</f>
        <v>0</v>
      </c>
      <c r="Q493" s="22" t="n">
        <f aca="false">IF(OR($A493="",N(L493)=0),0,CEILING(L493*(1+IF($O493="",Taux_Paye,$O493))-0.005,Pas_Arrondi))</f>
        <v>0</v>
      </c>
      <c r="R493" s="22" t="n">
        <f aca="false">IF(OR($A493="",N(M493)=0),0,CEILING(M493*(1+IF($O493="",Taux_Jur,$O493))-0.005,Pas_Arrondi))</f>
        <v>0</v>
      </c>
      <c r="S493" s="22" t="n">
        <f aca="false">IF(OR($A493="",N(N493)=0),0,CEILING(N493*(1+IF($O493="",Taux_PA,$O493))-0.005,Pas_Arrondi))</f>
        <v>0</v>
      </c>
      <c r="T493" s="22" t="str">
        <f aca="false">IF($A493="","",SUM(K493:N493))</f>
        <v/>
      </c>
      <c r="U493" s="22" t="str">
        <f aca="false">IF($A493="","",SUM(P493:S493))</f>
        <v/>
      </c>
      <c r="V493" s="22" t="str">
        <f aca="false">IF($A493="","",U493-T493)</f>
        <v/>
      </c>
      <c r="W493" s="23" t="str">
        <f aca="false">IF(OR($A493="",N(T493)=0),"",V493/T493)</f>
        <v/>
      </c>
      <c r="X493" s="18"/>
      <c r="Y493" s="18"/>
    </row>
    <row r="494" customFormat="false" ht="15" hidden="false" customHeight="false" outlineLevel="0" collapsed="false">
      <c r="A494" s="18"/>
      <c r="B494" s="18"/>
      <c r="C494" s="18"/>
      <c r="D494" s="18"/>
      <c r="E494" s="18"/>
      <c r="F494" s="18"/>
      <c r="G494" s="18"/>
      <c r="H494" s="19"/>
      <c r="I494" s="18"/>
      <c r="J494" s="18"/>
      <c r="K494" s="20"/>
      <c r="L494" s="20"/>
      <c r="M494" s="20"/>
      <c r="N494" s="20"/>
      <c r="O494" s="21"/>
      <c r="P494" s="22" t="n">
        <f aca="false">IF(OR($A494="",N(K494)=0),0,CEILING(K494*(1+IF($O494="",Taux_Compta,$O494))-0.005,Pas_Arrondi))</f>
        <v>0</v>
      </c>
      <c r="Q494" s="22" t="n">
        <f aca="false">IF(OR($A494="",N(L494)=0),0,CEILING(L494*(1+IF($O494="",Taux_Paye,$O494))-0.005,Pas_Arrondi))</f>
        <v>0</v>
      </c>
      <c r="R494" s="22" t="n">
        <f aca="false">IF(OR($A494="",N(M494)=0),0,CEILING(M494*(1+IF($O494="",Taux_Jur,$O494))-0.005,Pas_Arrondi))</f>
        <v>0</v>
      </c>
      <c r="S494" s="22" t="n">
        <f aca="false">IF(OR($A494="",N(N494)=0),0,CEILING(N494*(1+IF($O494="",Taux_PA,$O494))-0.005,Pas_Arrondi))</f>
        <v>0</v>
      </c>
      <c r="T494" s="22" t="str">
        <f aca="false">IF($A494="","",SUM(K494:N494))</f>
        <v/>
      </c>
      <c r="U494" s="22" t="str">
        <f aca="false">IF($A494="","",SUM(P494:S494))</f>
        <v/>
      </c>
      <c r="V494" s="22" t="str">
        <f aca="false">IF($A494="","",U494-T494)</f>
        <v/>
      </c>
      <c r="W494" s="23" t="str">
        <f aca="false">IF(OR($A494="",N(T494)=0),"",V494/T494)</f>
        <v/>
      </c>
      <c r="X494" s="18"/>
      <c r="Y494" s="18"/>
    </row>
    <row r="495" customFormat="false" ht="15" hidden="false" customHeight="false" outlineLevel="0" collapsed="false">
      <c r="A495" s="18"/>
      <c r="B495" s="18"/>
      <c r="C495" s="18"/>
      <c r="D495" s="18"/>
      <c r="E495" s="18"/>
      <c r="F495" s="18"/>
      <c r="G495" s="18"/>
      <c r="H495" s="19"/>
      <c r="I495" s="18"/>
      <c r="J495" s="18"/>
      <c r="K495" s="20"/>
      <c r="L495" s="20"/>
      <c r="M495" s="20"/>
      <c r="N495" s="20"/>
      <c r="O495" s="21"/>
      <c r="P495" s="22" t="n">
        <f aca="false">IF(OR($A495="",N(K495)=0),0,CEILING(K495*(1+IF($O495="",Taux_Compta,$O495))-0.005,Pas_Arrondi))</f>
        <v>0</v>
      </c>
      <c r="Q495" s="22" t="n">
        <f aca="false">IF(OR($A495="",N(L495)=0),0,CEILING(L495*(1+IF($O495="",Taux_Paye,$O495))-0.005,Pas_Arrondi))</f>
        <v>0</v>
      </c>
      <c r="R495" s="22" t="n">
        <f aca="false">IF(OR($A495="",N(M495)=0),0,CEILING(M495*(1+IF($O495="",Taux_Jur,$O495))-0.005,Pas_Arrondi))</f>
        <v>0</v>
      </c>
      <c r="S495" s="22" t="n">
        <f aca="false">IF(OR($A495="",N(N495)=0),0,CEILING(N495*(1+IF($O495="",Taux_PA,$O495))-0.005,Pas_Arrondi))</f>
        <v>0</v>
      </c>
      <c r="T495" s="22" t="str">
        <f aca="false">IF($A495="","",SUM(K495:N495))</f>
        <v/>
      </c>
      <c r="U495" s="22" t="str">
        <f aca="false">IF($A495="","",SUM(P495:S495))</f>
        <v/>
      </c>
      <c r="V495" s="22" t="str">
        <f aca="false">IF($A495="","",U495-T495)</f>
        <v/>
      </c>
      <c r="W495" s="23" t="str">
        <f aca="false">IF(OR($A495="",N(T495)=0),"",V495/T495)</f>
        <v/>
      </c>
      <c r="X495" s="18"/>
      <c r="Y495" s="18"/>
    </row>
    <row r="496" customFormat="false" ht="15" hidden="false" customHeight="false" outlineLevel="0" collapsed="false">
      <c r="A496" s="18"/>
      <c r="B496" s="18"/>
      <c r="C496" s="18"/>
      <c r="D496" s="18"/>
      <c r="E496" s="18"/>
      <c r="F496" s="18"/>
      <c r="G496" s="18"/>
      <c r="H496" s="19"/>
      <c r="I496" s="18"/>
      <c r="J496" s="18"/>
      <c r="K496" s="20"/>
      <c r="L496" s="20"/>
      <c r="M496" s="20"/>
      <c r="N496" s="20"/>
      <c r="O496" s="21"/>
      <c r="P496" s="22" t="n">
        <f aca="false">IF(OR($A496="",N(K496)=0),0,CEILING(K496*(1+IF($O496="",Taux_Compta,$O496))-0.005,Pas_Arrondi))</f>
        <v>0</v>
      </c>
      <c r="Q496" s="22" t="n">
        <f aca="false">IF(OR($A496="",N(L496)=0),0,CEILING(L496*(1+IF($O496="",Taux_Paye,$O496))-0.005,Pas_Arrondi))</f>
        <v>0</v>
      </c>
      <c r="R496" s="22" t="n">
        <f aca="false">IF(OR($A496="",N(M496)=0),0,CEILING(M496*(1+IF($O496="",Taux_Jur,$O496))-0.005,Pas_Arrondi))</f>
        <v>0</v>
      </c>
      <c r="S496" s="22" t="n">
        <f aca="false">IF(OR($A496="",N(N496)=0),0,CEILING(N496*(1+IF($O496="",Taux_PA,$O496))-0.005,Pas_Arrondi))</f>
        <v>0</v>
      </c>
      <c r="T496" s="22" t="str">
        <f aca="false">IF($A496="","",SUM(K496:N496))</f>
        <v/>
      </c>
      <c r="U496" s="22" t="str">
        <f aca="false">IF($A496="","",SUM(P496:S496))</f>
        <v/>
      </c>
      <c r="V496" s="22" t="str">
        <f aca="false">IF($A496="","",U496-T496)</f>
        <v/>
      </c>
      <c r="W496" s="23" t="str">
        <f aca="false">IF(OR($A496="",N(T496)=0),"",V496/T496)</f>
        <v/>
      </c>
      <c r="X496" s="18"/>
      <c r="Y496" s="18"/>
    </row>
    <row r="497" customFormat="false" ht="15" hidden="false" customHeight="false" outlineLevel="0" collapsed="false">
      <c r="A497" s="18"/>
      <c r="B497" s="18"/>
      <c r="C497" s="18"/>
      <c r="D497" s="18"/>
      <c r="E497" s="18"/>
      <c r="F497" s="18"/>
      <c r="G497" s="18"/>
      <c r="H497" s="19"/>
      <c r="I497" s="18"/>
      <c r="J497" s="18"/>
      <c r="K497" s="20"/>
      <c r="L497" s="20"/>
      <c r="M497" s="20"/>
      <c r="N497" s="20"/>
      <c r="O497" s="21"/>
      <c r="P497" s="22" t="n">
        <f aca="false">IF(OR($A497="",N(K497)=0),0,CEILING(K497*(1+IF($O497="",Taux_Compta,$O497))-0.005,Pas_Arrondi))</f>
        <v>0</v>
      </c>
      <c r="Q497" s="22" t="n">
        <f aca="false">IF(OR($A497="",N(L497)=0),0,CEILING(L497*(1+IF($O497="",Taux_Paye,$O497))-0.005,Pas_Arrondi))</f>
        <v>0</v>
      </c>
      <c r="R497" s="22" t="n">
        <f aca="false">IF(OR($A497="",N(M497)=0),0,CEILING(M497*(1+IF($O497="",Taux_Jur,$O497))-0.005,Pas_Arrondi))</f>
        <v>0</v>
      </c>
      <c r="S497" s="22" t="n">
        <f aca="false">IF(OR($A497="",N(N497)=0),0,CEILING(N497*(1+IF($O497="",Taux_PA,$O497))-0.005,Pas_Arrondi))</f>
        <v>0</v>
      </c>
      <c r="T497" s="22" t="str">
        <f aca="false">IF($A497="","",SUM(K497:N497))</f>
        <v/>
      </c>
      <c r="U497" s="22" t="str">
        <f aca="false">IF($A497="","",SUM(P497:S497))</f>
        <v/>
      </c>
      <c r="V497" s="22" t="str">
        <f aca="false">IF($A497="","",U497-T497)</f>
        <v/>
      </c>
      <c r="W497" s="23" t="str">
        <f aca="false">IF(OR($A497="",N(T497)=0),"",V497/T497)</f>
        <v/>
      </c>
      <c r="X497" s="18"/>
      <c r="Y497" s="18"/>
    </row>
    <row r="498" customFormat="false" ht="15" hidden="false" customHeight="false" outlineLevel="0" collapsed="false">
      <c r="A498" s="18"/>
      <c r="B498" s="18"/>
      <c r="C498" s="18"/>
      <c r="D498" s="18"/>
      <c r="E498" s="18"/>
      <c r="F498" s="18"/>
      <c r="G498" s="18"/>
      <c r="H498" s="19"/>
      <c r="I498" s="18"/>
      <c r="J498" s="18"/>
      <c r="K498" s="20"/>
      <c r="L498" s="20"/>
      <c r="M498" s="20"/>
      <c r="N498" s="20"/>
      <c r="O498" s="21"/>
      <c r="P498" s="22" t="n">
        <f aca="false">IF(OR($A498="",N(K498)=0),0,CEILING(K498*(1+IF($O498="",Taux_Compta,$O498))-0.005,Pas_Arrondi))</f>
        <v>0</v>
      </c>
      <c r="Q498" s="22" t="n">
        <f aca="false">IF(OR($A498="",N(L498)=0),0,CEILING(L498*(1+IF($O498="",Taux_Paye,$O498))-0.005,Pas_Arrondi))</f>
        <v>0</v>
      </c>
      <c r="R498" s="22" t="n">
        <f aca="false">IF(OR($A498="",N(M498)=0),0,CEILING(M498*(1+IF($O498="",Taux_Jur,$O498))-0.005,Pas_Arrondi))</f>
        <v>0</v>
      </c>
      <c r="S498" s="22" t="n">
        <f aca="false">IF(OR($A498="",N(N498)=0),0,CEILING(N498*(1+IF($O498="",Taux_PA,$O498))-0.005,Pas_Arrondi))</f>
        <v>0</v>
      </c>
      <c r="T498" s="22" t="str">
        <f aca="false">IF($A498="","",SUM(K498:N498))</f>
        <v/>
      </c>
      <c r="U498" s="22" t="str">
        <f aca="false">IF($A498="","",SUM(P498:S498))</f>
        <v/>
      </c>
      <c r="V498" s="22" t="str">
        <f aca="false">IF($A498="","",U498-T498)</f>
        <v/>
      </c>
      <c r="W498" s="23" t="str">
        <f aca="false">IF(OR($A498="",N(T498)=0),"",V498/T498)</f>
        <v/>
      </c>
      <c r="X498" s="18"/>
      <c r="Y498" s="18"/>
    </row>
    <row r="499" customFormat="false" ht="15" hidden="false" customHeight="false" outlineLevel="0" collapsed="false">
      <c r="A499" s="18"/>
      <c r="B499" s="18"/>
      <c r="C499" s="18"/>
      <c r="D499" s="18"/>
      <c r="E499" s="18"/>
      <c r="F499" s="18"/>
      <c r="G499" s="18"/>
      <c r="H499" s="19"/>
      <c r="I499" s="18"/>
      <c r="J499" s="18"/>
      <c r="K499" s="20"/>
      <c r="L499" s="20"/>
      <c r="M499" s="20"/>
      <c r="N499" s="20"/>
      <c r="O499" s="21"/>
      <c r="P499" s="22" t="n">
        <f aca="false">IF(OR($A499="",N(K499)=0),0,CEILING(K499*(1+IF($O499="",Taux_Compta,$O499))-0.005,Pas_Arrondi))</f>
        <v>0</v>
      </c>
      <c r="Q499" s="22" t="n">
        <f aca="false">IF(OR($A499="",N(L499)=0),0,CEILING(L499*(1+IF($O499="",Taux_Paye,$O499))-0.005,Pas_Arrondi))</f>
        <v>0</v>
      </c>
      <c r="R499" s="22" t="n">
        <f aca="false">IF(OR($A499="",N(M499)=0),0,CEILING(M499*(1+IF($O499="",Taux_Jur,$O499))-0.005,Pas_Arrondi))</f>
        <v>0</v>
      </c>
      <c r="S499" s="22" t="n">
        <f aca="false">IF(OR($A499="",N(N499)=0),0,CEILING(N499*(1+IF($O499="",Taux_PA,$O499))-0.005,Pas_Arrondi))</f>
        <v>0</v>
      </c>
      <c r="T499" s="22" t="str">
        <f aca="false">IF($A499="","",SUM(K499:N499))</f>
        <v/>
      </c>
      <c r="U499" s="22" t="str">
        <f aca="false">IF($A499="","",SUM(P499:S499))</f>
        <v/>
      </c>
      <c r="V499" s="22" t="str">
        <f aca="false">IF($A499="","",U499-T499)</f>
        <v/>
      </c>
      <c r="W499" s="23" t="str">
        <f aca="false">IF(OR($A499="",N(T499)=0),"",V499/T499)</f>
        <v/>
      </c>
      <c r="X499" s="18"/>
      <c r="Y499" s="18"/>
    </row>
    <row r="500" customFormat="false" ht="15" hidden="false" customHeight="false" outlineLevel="0" collapsed="false">
      <c r="A500" s="18"/>
      <c r="B500" s="18"/>
      <c r="C500" s="18"/>
      <c r="D500" s="18"/>
      <c r="E500" s="18"/>
      <c r="F500" s="18"/>
      <c r="G500" s="18"/>
      <c r="H500" s="19"/>
      <c r="I500" s="18"/>
      <c r="J500" s="18"/>
      <c r="K500" s="20"/>
      <c r="L500" s="20"/>
      <c r="M500" s="20"/>
      <c r="N500" s="20"/>
      <c r="O500" s="21"/>
      <c r="P500" s="22" t="n">
        <f aca="false">IF(OR($A500="",N(K500)=0),0,CEILING(K500*(1+IF($O500="",Taux_Compta,$O500))-0.005,Pas_Arrondi))</f>
        <v>0</v>
      </c>
      <c r="Q500" s="22" t="n">
        <f aca="false">IF(OR($A500="",N(L500)=0),0,CEILING(L500*(1+IF($O500="",Taux_Paye,$O500))-0.005,Pas_Arrondi))</f>
        <v>0</v>
      </c>
      <c r="R500" s="22" t="n">
        <f aca="false">IF(OR($A500="",N(M500)=0),0,CEILING(M500*(1+IF($O500="",Taux_Jur,$O500))-0.005,Pas_Arrondi))</f>
        <v>0</v>
      </c>
      <c r="S500" s="22" t="n">
        <f aca="false">IF(OR($A500="",N(N500)=0),0,CEILING(N500*(1+IF($O500="",Taux_PA,$O500))-0.005,Pas_Arrondi))</f>
        <v>0</v>
      </c>
      <c r="T500" s="22" t="str">
        <f aca="false">IF($A500="","",SUM(K500:N500))</f>
        <v/>
      </c>
      <c r="U500" s="22" t="str">
        <f aca="false">IF($A500="","",SUM(P500:S500))</f>
        <v/>
      </c>
      <c r="V500" s="22" t="str">
        <f aca="false">IF($A500="","",U500-T500)</f>
        <v/>
      </c>
      <c r="W500" s="23" t="str">
        <f aca="false">IF(OR($A500="",N(T500)=0),"",V500/T500)</f>
        <v/>
      </c>
      <c r="X500" s="18"/>
      <c r="Y500" s="18"/>
    </row>
    <row r="501" customFormat="false" ht="15" hidden="false" customHeight="false" outlineLevel="0" collapsed="false">
      <c r="A501" s="18"/>
      <c r="B501" s="18"/>
      <c r="C501" s="18"/>
      <c r="D501" s="18"/>
      <c r="E501" s="18"/>
      <c r="F501" s="18"/>
      <c r="G501" s="18"/>
      <c r="H501" s="19"/>
      <c r="I501" s="18"/>
      <c r="J501" s="18"/>
      <c r="K501" s="20"/>
      <c r="L501" s="20"/>
      <c r="M501" s="20"/>
      <c r="N501" s="20"/>
      <c r="O501" s="21"/>
      <c r="P501" s="22" t="n">
        <f aca="false">IF(OR($A501="",N(K501)=0),0,CEILING(K501*(1+IF($O501="",Taux_Compta,$O501))-0.005,Pas_Arrondi))</f>
        <v>0</v>
      </c>
      <c r="Q501" s="22" t="n">
        <f aca="false">IF(OR($A501="",N(L501)=0),0,CEILING(L501*(1+IF($O501="",Taux_Paye,$O501))-0.005,Pas_Arrondi))</f>
        <v>0</v>
      </c>
      <c r="R501" s="22" t="n">
        <f aca="false">IF(OR($A501="",N(M501)=0),0,CEILING(M501*(1+IF($O501="",Taux_Jur,$O501))-0.005,Pas_Arrondi))</f>
        <v>0</v>
      </c>
      <c r="S501" s="22" t="n">
        <f aca="false">IF(OR($A501="",N(N501)=0),0,CEILING(N501*(1+IF($O501="",Taux_PA,$O501))-0.005,Pas_Arrondi))</f>
        <v>0</v>
      </c>
      <c r="T501" s="22" t="str">
        <f aca="false">IF($A501="","",SUM(K501:N501))</f>
        <v/>
      </c>
      <c r="U501" s="22" t="str">
        <f aca="false">IF($A501="","",SUM(P501:S501))</f>
        <v/>
      </c>
      <c r="V501" s="22" t="str">
        <f aca="false">IF($A501="","",U501-T501)</f>
        <v/>
      </c>
      <c r="W501" s="23" t="str">
        <f aca="false">IF(OR($A501="",N(T501)=0),"",V501/T501)</f>
        <v/>
      </c>
      <c r="X501" s="18"/>
      <c r="Y501" s="18"/>
    </row>
  </sheetData>
  <autoFilter ref="A1:Y501"/>
  <dataValidations count="3">
    <dataValidation allowBlank="true" errorStyle="stop" operator="between" showDropDown="false" showErrorMessage="false" showInputMessage="false" sqref="B2:B501" type="list">
      <formula1>"M.,Mme,M. et Mme"</formula1>
      <formula2>0</formula2>
    </dataValidation>
    <dataValidation allowBlank="true" errorStyle="stop" operator="between" showDropDown="false" showErrorMessage="false" showInputMessage="false" sqref="X2:X501" type="list">
      <formula1>"Oui,Non"</formula1>
      <formula2>0</formula2>
    </dataValidation>
    <dataValidation allowBlank="true" errorStyle="stop" operator="between" showDropDown="false" showErrorMessage="false" showInputMessage="false" sqref="Y2:Y501" type="list">
      <formula1>"Courrier,Email,Les deux"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O4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 min="2" style="0" width="44"/>
    <col collapsed="false" customWidth="true" hidden="false" outlineLevel="0" max="3" min="3" style="0" width="14"/>
    <col collapsed="false" customWidth="true" hidden="false" outlineLevel="0" max="4" min="4" style="0" width="9"/>
    <col collapsed="false" customWidth="true" hidden="false" outlineLevel="0" max="5" min="5" style="0" width="14"/>
    <col collapsed="false" customWidth="true" hidden="false" outlineLevel="0" max="6" min="6" style="0" width="13"/>
    <col collapsed="false" customWidth="true" hidden="false" outlineLevel="0" max="8" min="7" style="0" width="3"/>
    <col collapsed="false" customWidth="true" hidden="false" outlineLevel="0" max="9" min="9" style="0" width="22"/>
    <col collapsed="false" customWidth="true" hidden="false" outlineLevel="0" max="10" min="10" style="0" width="16"/>
    <col collapsed="false" customWidth="true" hidden="false" outlineLevel="0" max="12" min="11" style="0" width="12"/>
    <col collapsed="false" customWidth="true" hidden="false" outlineLevel="0" max="15" min="13" style="0" width="6"/>
  </cols>
  <sheetData>
    <row r="1" customFormat="false" ht="15" hidden="false" customHeight="false" outlineLevel="0" collapsed="false">
      <c r="B1" s="10"/>
      <c r="C1" s="10"/>
      <c r="D1" s="10"/>
      <c r="E1" s="10"/>
      <c r="F1" s="10"/>
      <c r="J1" s="24" t="s">
        <v>136</v>
      </c>
      <c r="K1" s="24" t="n">
        <f aca="false">IFERROR(MATCH(Client_Selectionne,Codes_Clients,0),0)</f>
        <v>1</v>
      </c>
      <c r="L1" s="24"/>
      <c r="M1" s="24"/>
      <c r="N1" s="24"/>
      <c r="O1" s="24"/>
    </row>
    <row r="2" customFormat="false" ht="21.75" hidden="false" customHeight="true" outlineLevel="0" collapsed="false">
      <c r="B2" s="25" t="str">
        <f aca="false">Cab_Nom</f>
        <v>CABINET EXEMPLE EXPERTISE</v>
      </c>
      <c r="C2" s="25"/>
      <c r="D2" s="10"/>
      <c r="E2" s="26" t="str">
        <f aca="false">"Réf. client : "&amp;Client_Selectionne</f>
        <v>Réf. client : C001</v>
      </c>
      <c r="F2" s="26"/>
      <c r="I2" s="27" t="s">
        <v>137</v>
      </c>
      <c r="J2" s="24" t="s">
        <v>138</v>
      </c>
      <c r="K2" s="24" t="str">
        <f aca="false">IF(IF($K$1=0,"",INDEX(Clients!$B$2:$B$501,$K$1)&amp;"")="Mme","Madame",IF(IF($K$1=0,"",INDEX(Clients!$B$2:$B$501,$K$1)&amp;"")="M.","Monsieur",IF(IF($K$1=0,"",INDEX(Clients!$B$2:$B$501,$K$1)&amp;"")="M. et Mme","Madame, Monsieur","Madame, Monsieur")))</f>
        <v>Monsieur</v>
      </c>
      <c r="L2" s="24"/>
      <c r="M2" s="24"/>
      <c r="N2" s="24"/>
      <c r="O2" s="24"/>
    </row>
    <row r="3" customFormat="false" ht="15" hidden="false" customHeight="false" outlineLevel="0" collapsed="false">
      <c r="B3" s="28" t="str">
        <f aca="false">Cab_Adr1</f>
        <v>12 rue de la République</v>
      </c>
      <c r="C3" s="28"/>
      <c r="D3" s="10"/>
      <c r="E3" s="10"/>
      <c r="F3" s="10"/>
      <c r="I3" s="29" t="s">
        <v>108</v>
      </c>
      <c r="J3" s="24" t="s">
        <v>139</v>
      </c>
      <c r="K3" s="24" t="str">
        <f aca="false">DAY(Date_Effet)&amp;IF(DAY(Date_Effet)=1,"er","")&amp;" "&amp;INDEX(Liste_Mois,MONTH(Date_Effet))&amp;" "&amp;YEAR(Date_Effet)</f>
        <v>1er janvier 2027</v>
      </c>
      <c r="L3" s="24"/>
      <c r="M3" s="24"/>
      <c r="N3" s="24"/>
      <c r="O3" s="24"/>
    </row>
    <row r="4" customFormat="false" ht="15" hidden="false" customHeight="false" outlineLevel="0" collapsed="false">
      <c r="B4" s="28" t="str">
        <f aca="false">Cab_CPVille</f>
        <v>69002 LYON</v>
      </c>
      <c r="C4" s="28"/>
      <c r="D4" s="10"/>
      <c r="E4" s="10"/>
      <c r="F4" s="10"/>
      <c r="I4" s="30" t="str">
        <f aca="false">IFERROR(INDEX(Clients!$E$2:$E$501,MATCH(Client_Selectionne,Codes_Clients,0)),"Code introuvable")</f>
        <v>SARL DURAND BÂTIMENT</v>
      </c>
      <c r="J4" s="24" t="s">
        <v>140</v>
      </c>
      <c r="K4" s="24" t="str">
        <f aca="false">IF(SUM($K$28:$K$31)=0,"",FIXED((SUM($L$28:$L$31)/SUM($K$28:$K$31)-1)*100,1)&amp;" %")</f>
        <v>3.5 %</v>
      </c>
      <c r="L4" s="24"/>
      <c r="M4" s="24"/>
      <c r="N4" s="24"/>
      <c r="O4" s="24"/>
    </row>
    <row r="5" customFormat="false" ht="15" hidden="false" customHeight="false" outlineLevel="0" collapsed="false">
      <c r="B5" s="28" t="str">
        <f aca="false">Cab_Contact</f>
        <v>Tél. 04 00 00 00 00  ·  contact@cabinet-exemple.fr</v>
      </c>
      <c r="C5" s="28"/>
      <c r="D5" s="10"/>
      <c r="E5" s="10"/>
      <c r="F5" s="10"/>
      <c r="J5" s="24"/>
      <c r="K5" s="24"/>
      <c r="L5" s="24"/>
      <c r="M5" s="24"/>
      <c r="N5" s="24"/>
      <c r="O5" s="24"/>
    </row>
    <row r="6" customFormat="false" ht="6" hidden="false" customHeight="true" outlineLevel="0" collapsed="false">
      <c r="B6" s="31"/>
      <c r="C6" s="31"/>
      <c r="D6" s="31"/>
      <c r="E6" s="31"/>
      <c r="F6" s="31"/>
      <c r="I6" s="32" t="s">
        <v>141</v>
      </c>
      <c r="J6" s="32"/>
      <c r="K6" s="32"/>
      <c r="L6" s="32"/>
      <c r="M6" s="24"/>
      <c r="N6" s="24"/>
      <c r="O6" s="24"/>
    </row>
    <row r="7" customFormat="false" ht="13.5" hidden="false" customHeight="true" outlineLevel="0" collapsed="false">
      <c r="B7" s="10"/>
      <c r="C7" s="10"/>
      <c r="D7" s="10"/>
      <c r="E7" s="10"/>
      <c r="F7" s="10"/>
      <c r="I7" s="32"/>
      <c r="J7" s="32"/>
      <c r="K7" s="32"/>
      <c r="L7" s="32"/>
      <c r="M7" s="24"/>
      <c r="N7" s="24"/>
      <c r="O7" s="24"/>
    </row>
    <row r="8" customFormat="false" ht="13.5" hidden="false" customHeight="true" outlineLevel="0" collapsed="false">
      <c r="B8" s="10"/>
      <c r="C8" s="10"/>
      <c r="D8" s="10"/>
      <c r="E8" s="10"/>
      <c r="F8" s="10"/>
      <c r="I8" s="32"/>
      <c r="J8" s="32"/>
      <c r="K8" s="32"/>
      <c r="L8" s="32"/>
      <c r="M8" s="24"/>
      <c r="N8" s="24"/>
      <c r="O8" s="24"/>
    </row>
    <row r="9" customFormat="false" ht="13.5" hidden="false" customHeight="true" outlineLevel="0" collapsed="false">
      <c r="B9" s="10"/>
      <c r="C9" s="10"/>
      <c r="D9" s="10"/>
      <c r="E9" s="10"/>
      <c r="F9" s="10"/>
      <c r="I9" s="32"/>
      <c r="J9" s="32"/>
      <c r="K9" s="32"/>
      <c r="L9" s="32"/>
      <c r="M9" s="24"/>
      <c r="N9" s="24"/>
      <c r="O9" s="24"/>
    </row>
    <row r="10" customFormat="false" ht="15" hidden="false" customHeight="true" outlineLevel="0" collapsed="false">
      <c r="B10" s="10"/>
      <c r="C10" s="10"/>
      <c r="D10" s="33" t="str">
        <f aca="false">IF($K$1=0,"",INDEX(Clients!$E$2:$E$501,$K$1)&amp;"")</f>
        <v>SARL DURAND BÂTIMENT</v>
      </c>
      <c r="E10" s="33"/>
      <c r="F10" s="33"/>
      <c r="I10" s="32"/>
      <c r="J10" s="32"/>
      <c r="K10" s="32"/>
      <c r="L10" s="32"/>
      <c r="M10" s="24"/>
      <c r="N10" s="24"/>
      <c r="O10" s="24"/>
    </row>
    <row r="11" customFormat="false" ht="15" hidden="false" customHeight="true" outlineLevel="0" collapsed="false">
      <c r="B11" s="10"/>
      <c r="C11" s="10"/>
      <c r="D11" s="34" t="str">
        <f aca="false">IF(IF($K$1=0,"",INDEX(Clients!$D$2:$D$501,$K$1)&amp;"")="","","À l'attention de "&amp;TRIM(IF($K$1=0,"",INDEX(Clients!$B$2:$B$501,$K$1)&amp;"")&amp;" "&amp;IF($K$1=0,"",INDEX(Clients!$C$2:$C$501,$K$1)&amp;"")&amp;" "&amp;IF($K$1=0,"",INDEX(Clients!$D$2:$D$501,$K$1)&amp;"")))</f>
        <v>À l'attention de M. Pierre DURAND</v>
      </c>
      <c r="E11" s="34"/>
      <c r="F11" s="34"/>
      <c r="J11" s="24"/>
      <c r="K11" s="24"/>
      <c r="L11" s="24"/>
      <c r="M11" s="24"/>
      <c r="N11" s="24"/>
      <c r="O11" s="24"/>
    </row>
    <row r="12" customFormat="false" ht="15" hidden="false" customHeight="true" outlineLevel="0" collapsed="false">
      <c r="B12" s="10"/>
      <c r="C12" s="10"/>
      <c r="D12" s="34" t="str">
        <f aca="false">IF($K$1=0,"",INDEX(Clients!$F$2:$F$501,$K$1)&amp;"")</f>
        <v>5 avenue des Tilleuls</v>
      </c>
      <c r="E12" s="34"/>
      <c r="F12" s="34"/>
      <c r="J12" s="24"/>
      <c r="K12" s="24"/>
      <c r="L12" s="24"/>
      <c r="M12" s="24"/>
      <c r="N12" s="24"/>
      <c r="O12" s="24"/>
    </row>
    <row r="13" customFormat="false" ht="15" hidden="false" customHeight="true" outlineLevel="0" collapsed="false">
      <c r="B13" s="10"/>
      <c r="C13" s="10"/>
      <c r="D13" s="34" t="str">
        <f aca="false">IF(IF($K$1=0,"",INDEX(Clients!$G$2:$G$501,$K$1)&amp;"")="",TRIM(IF($K$1=0,"",INDEX(Clients!$H$2:$H$501,$K$1)&amp;"")&amp;" "&amp;UPPER(IF($K$1=0,"",INDEX(Clients!$I$2:$I$501,$K$1)&amp;""))),IF($K$1=0,"",INDEX(Clients!$G$2:$G$501,$K$1)&amp;""))</f>
        <v>69100 VILLEURBANNE</v>
      </c>
      <c r="E13" s="34"/>
      <c r="F13" s="34"/>
      <c r="J13" s="24"/>
      <c r="K13" s="24"/>
      <c r="L13" s="24"/>
      <c r="M13" s="24"/>
      <c r="N13" s="24"/>
      <c r="O13" s="24"/>
    </row>
    <row r="14" customFormat="false" ht="15" hidden="false" customHeight="true" outlineLevel="0" collapsed="false">
      <c r="B14" s="10"/>
      <c r="C14" s="10"/>
      <c r="D14" s="34" t="str">
        <f aca="false">IF(IF($K$1=0,"",INDEX(Clients!$G$2:$G$501,$K$1)&amp;"")="","",TRIM(IF($K$1=0,"",INDEX(Clients!$H$2:$H$501,$K$1)&amp;"")&amp;" "&amp;UPPER(IF($K$1=0,"",INDEX(Clients!$I$2:$I$501,$K$1)&amp;""))))</f>
        <v/>
      </c>
      <c r="E14" s="34"/>
      <c r="F14" s="34"/>
      <c r="J14" s="24"/>
      <c r="K14" s="24"/>
      <c r="L14" s="24"/>
      <c r="M14" s="24"/>
      <c r="N14" s="24"/>
      <c r="O14" s="24"/>
    </row>
    <row r="15" customFormat="false" ht="25.5" hidden="false" customHeight="true" outlineLevel="0" collapsed="false">
      <c r="B15" s="10"/>
      <c r="C15" s="10"/>
      <c r="D15" s="10"/>
      <c r="E15" s="10"/>
      <c r="F15" s="10"/>
      <c r="J15" s="24"/>
      <c r="K15" s="24"/>
      <c r="L15" s="24"/>
      <c r="M15" s="24"/>
      <c r="N15" s="24"/>
      <c r="O15" s="24"/>
    </row>
    <row r="16" customFormat="false" ht="15" hidden="false" customHeight="false" outlineLevel="0" collapsed="false">
      <c r="B16" s="10"/>
      <c r="C16" s="10"/>
      <c r="D16" s="35" t="str">
        <f aca="false">Cab_Ville&amp;", le "&amp;DAY(Date_Courrier)&amp;IF(DAY(Date_Courrier)=1,"er","")&amp;" "&amp;INDEX(Liste_Mois,MONTH(Date_Courrier))&amp;" "&amp;YEAR(Date_Courrier)</f>
        <v>Lyon, le 22 septembre 2026</v>
      </c>
      <c r="E16" s="35"/>
      <c r="F16" s="35"/>
      <c r="J16" s="24"/>
      <c r="K16" s="24"/>
      <c r="L16" s="24"/>
      <c r="M16" s="24"/>
      <c r="N16" s="24"/>
      <c r="O16" s="24"/>
    </row>
    <row r="17" customFormat="false" ht="19.5" hidden="false" customHeight="true" outlineLevel="0" collapsed="false">
      <c r="B17" s="10"/>
      <c r="C17" s="10"/>
      <c r="D17" s="10"/>
      <c r="E17" s="10"/>
      <c r="F17" s="10"/>
      <c r="J17" s="24"/>
      <c r="K17" s="24"/>
      <c r="L17" s="24"/>
      <c r="M17" s="24"/>
      <c r="N17" s="24"/>
      <c r="O17" s="24"/>
    </row>
    <row r="18" customFormat="false" ht="15" hidden="false" customHeight="false" outlineLevel="0" collapsed="false">
      <c r="B18" s="33" t="str">
        <f aca="false">SUBSTITUTE(SUBSTITUTE(SUBSTITUTE(SUBSTITUTE(SUBSTITUTE(Txt_Objet,"{cabinet}",Cab_Nom),"{societe}",IF($K$1=0,"",INDEX(Clients!$E$2:$E$501,$K$1)&amp;"")),"{date_effet}",$K$3),"{hausse}",$K$4),"{civilite}",$K$2)</f>
        <v>Objet : révision de nos honoraires au 1er janvier 2027</v>
      </c>
      <c r="C18" s="33"/>
      <c r="D18" s="33"/>
      <c r="E18" s="33"/>
      <c r="F18" s="33"/>
      <c r="J18" s="24"/>
      <c r="K18" s="24"/>
      <c r="L18" s="24"/>
      <c r="M18" s="24"/>
      <c r="N18" s="24"/>
      <c r="O18" s="24"/>
    </row>
    <row r="19" customFormat="false" ht="13.5" hidden="false" customHeight="true" outlineLevel="0" collapsed="false">
      <c r="B19" s="10"/>
      <c r="C19" s="10"/>
      <c r="D19" s="10"/>
      <c r="E19" s="10"/>
      <c r="F19" s="10"/>
      <c r="J19" s="24"/>
      <c r="K19" s="24"/>
      <c r="L19" s="24"/>
      <c r="M19" s="24"/>
      <c r="N19" s="24"/>
      <c r="O19" s="24"/>
    </row>
    <row r="20" customFormat="false" ht="15" hidden="false" customHeight="false" outlineLevel="0" collapsed="false">
      <c r="B20" s="10" t="str">
        <f aca="false">$K$2&amp;","</f>
        <v>Monsieur,</v>
      </c>
      <c r="C20" s="10"/>
      <c r="D20" s="10"/>
      <c r="E20" s="10"/>
      <c r="F20" s="10"/>
      <c r="J20" s="24"/>
      <c r="K20" s="24"/>
      <c r="L20" s="24"/>
      <c r="M20" s="24"/>
      <c r="N20" s="24"/>
      <c r="O20" s="24"/>
    </row>
    <row r="21" customFormat="false" ht="6" hidden="false" customHeight="true" outlineLevel="0" collapsed="false">
      <c r="B21" s="10"/>
      <c r="C21" s="10"/>
      <c r="D21" s="10"/>
      <c r="E21" s="10"/>
      <c r="F21" s="10"/>
      <c r="J21" s="24"/>
      <c r="K21" s="24"/>
      <c r="L21" s="24"/>
      <c r="M21" s="24"/>
      <c r="N21" s="24"/>
      <c r="O21" s="24"/>
    </row>
    <row r="22" customFormat="false" ht="36.75" hidden="false" customHeight="true" outlineLevel="0" collapsed="false">
      <c r="B22" s="36" t="str">
        <f aca="false">SUBSTITUTE(SUBSTITUTE(SUBSTITUTE(SUBSTITUTE(SUBSTITUTE(Txt_P1,"{cabinet}",Cab_Nom),"{societe}",IF($K$1=0,"",INDEX(Clients!$E$2:$E$501,$K$1)&amp;"")),"{date_effet}",$K$3),"{hausse}",$K$4),"{civilite}",$K$2)</f>
        <v>Nous tenons tout d'abord à vous remercier pour la confiance que vous accordez à CABINET EXEMPLE EXPERTISE. Comme chaque année, et conformément aux dispositions de votre lettre de mission, nous procédons à la révision de nos honoraires.</v>
      </c>
      <c r="C22" s="36"/>
      <c r="D22" s="36"/>
      <c r="E22" s="36"/>
      <c r="F22" s="36"/>
      <c r="J22" s="24"/>
      <c r="K22" s="24"/>
      <c r="L22" s="24"/>
      <c r="M22" s="24"/>
      <c r="N22" s="24"/>
      <c r="O22" s="24"/>
    </row>
    <row r="23" customFormat="false" ht="49.5" hidden="false" customHeight="true" outlineLevel="0" collapsed="false">
      <c r="B23" s="36" t="str">
        <f aca="false">SUBSTITUTE(SUBSTITUTE(SUBSTITUTE(SUBSTITUTE(SUBSTITUTE(Txt_P2,"{cabinet}",Cab_Nom),"{societe}",IF($K$1=0,"",INDEX(Clients!$E$2:$E$501,$K$1)&amp;"")),"{date_effet}",$K$3),"{hausse}",$K$4),"{civilite}",$K$2)</f>
        <v>Cette révision, que nous avons souhaitée mesurée, tient compte de l'évolution de nos charges (rémunération et formation continue de nos collaborateurs, logiciels, sécurité informatique) ainsi que du renforcement constant des obligations comptables, fiscales, sociales et juridiques qui s'imposent à votre entreprise.</v>
      </c>
      <c r="C23" s="36"/>
      <c r="D23" s="36"/>
      <c r="E23" s="36"/>
      <c r="F23" s="36"/>
      <c r="J23" s="24"/>
      <c r="K23" s="24"/>
      <c r="L23" s="24"/>
      <c r="M23" s="24"/>
      <c r="N23" s="24"/>
      <c r="O23" s="24"/>
    </row>
    <row r="24" customFormat="false" ht="63" hidden="false" customHeight="true" outlineLevel="0" collapsed="false">
      <c r="B24" s="36" t="str">
        <f aca="false">SUBSTITUTE(SUBSTITUTE(SUBSTITUTE(SUBSTITUTE(SUBSTITUTE(Txt_P3,"{cabinet}",Cab_Nom),"{societe}",IF($K$1=0,"",INDEX(Clients!$E$2:$E$501,$K$1)&amp;"")),"{date_effet}",$K$3),"{hausse}",$K$4),"{civilite}",$K$2)</f>
        <v>L'année à venir est également marquée par la généralisation de la facturation électronique : depuis le 1er septembre 2026, toutes les entreprises doivent être en mesure de recevoir leurs factures électroniques via une plateforme agréée, et l'obligation d'émission s'étendra aux PME et micro-entreprises au 1er septembre 2027. Notre cabinet vous accompagne dans cette transition grâce à une solution de plateforme agréée directement intégrée à votre dossier.</v>
      </c>
      <c r="C24" s="36"/>
      <c r="D24" s="36"/>
      <c r="E24" s="36"/>
      <c r="F24" s="36"/>
      <c r="J24" s="24"/>
      <c r="K24" s="24"/>
      <c r="L24" s="24"/>
      <c r="M24" s="24"/>
      <c r="N24" s="24"/>
      <c r="O24" s="24"/>
    </row>
    <row r="25" customFormat="false" ht="24" hidden="false" customHeight="true" outlineLevel="0" collapsed="false">
      <c r="B25" s="36" t="str">
        <f aca="false">SUBSTITUTE(SUBSTITUTE(SUBSTITUTE(SUBSTITUTE(SUBSTITUTE(Txt_P4,"{cabinet}",Cab_Nom),"{societe}",IF($K$1=0,"",INDEX(Clients!$E$2:$E$501,$K$1)&amp;"")),"{date_effet}",$K$3),"{hausse}",$K$4),"{civilite}",$K$2)</f>
        <v>À compter du 1er janvier 2027, vos honoraires annuels hors taxes évolueront ainsi (évolution globale : 3.5 %) :</v>
      </c>
      <c r="C25" s="36"/>
      <c r="D25" s="36"/>
      <c r="E25" s="36"/>
      <c r="F25" s="36"/>
      <c r="J25" s="24"/>
      <c r="K25" s="24"/>
      <c r="L25" s="24"/>
      <c r="M25" s="24"/>
      <c r="N25" s="24"/>
      <c r="O25" s="24"/>
    </row>
    <row r="26" customFormat="false" ht="3.75" hidden="false" customHeight="true" outlineLevel="0" collapsed="false">
      <c r="B26" s="10"/>
      <c r="C26" s="10"/>
      <c r="D26" s="10"/>
      <c r="E26" s="10"/>
      <c r="F26" s="10"/>
      <c r="J26" s="24"/>
      <c r="K26" s="24"/>
      <c r="L26" s="24"/>
      <c r="M26" s="24"/>
      <c r="N26" s="24"/>
      <c r="O26" s="24"/>
    </row>
    <row r="27" customFormat="false" ht="18" hidden="false" customHeight="true" outlineLevel="0" collapsed="false">
      <c r="B27" s="37" t="s">
        <v>142</v>
      </c>
      <c r="C27" s="38" t="s">
        <v>143</v>
      </c>
      <c r="D27" s="38" t="s">
        <v>144</v>
      </c>
      <c r="E27" s="38" t="s">
        <v>145</v>
      </c>
      <c r="F27" s="38" t="s">
        <v>104</v>
      </c>
      <c r="J27" s="24" t="s">
        <v>146</v>
      </c>
      <c r="K27" s="24" t="s">
        <v>147</v>
      </c>
      <c r="L27" s="24" t="s">
        <v>148</v>
      </c>
      <c r="M27" s="24" t="s">
        <v>149</v>
      </c>
      <c r="N27" s="24" t="s">
        <v>150</v>
      </c>
      <c r="O27" s="24" t="s">
        <v>151</v>
      </c>
    </row>
    <row r="28" customFormat="false" ht="16.5" hidden="false" customHeight="true" outlineLevel="0" collapsed="false">
      <c r="B28" s="39" t="str">
        <f aca="false">IFERROR(INDEX($J$28:$J$31,MATCH($O28,$N$28:$N$31,0)),"")</f>
        <v>Mission comptable (tenue, révision, bilan, liasse fiscale)</v>
      </c>
      <c r="C28" s="40" t="n">
        <f aca="false">IFERROR(INDEX($K$28:$K$31,MATCH($O28,$N$28:$N$31,0)),"")</f>
        <v>3600</v>
      </c>
      <c r="D28" s="41" t="n">
        <f aca="false">IF(OR(E28="",N(C28)=0),"",E28/C28-1)</f>
        <v>0.0349999999999999</v>
      </c>
      <c r="E28" s="40" t="n">
        <f aca="false">IFERROR(INDEX($L$28:$L$31,MATCH($O28,$N$28:$N$31,0)),"")</f>
        <v>3726</v>
      </c>
      <c r="F28" s="40" t="n">
        <f aca="false">IF(E28="","",E28-C28)</f>
        <v>126</v>
      </c>
      <c r="J28" s="24" t="str">
        <f aca="false">Lib_Compta</f>
        <v>Mission comptable (tenue, révision, bilan, liasse fiscale)</v>
      </c>
      <c r="K28" s="24" t="n">
        <f aca="false">IF($K$1=0,0,N(INDEX(Clients!$K$2:$K$501,$K$1)))</f>
        <v>3600</v>
      </c>
      <c r="L28" s="24" t="n">
        <f aca="false">IF($K$1=0,0,N(INDEX(Clients!$P$2:$P$501,$K$1)))</f>
        <v>3726</v>
      </c>
      <c r="M28" s="24" t="n">
        <f aca="false">IF(OR(K28&lt;&gt;0,L28&lt;&gt;0),1,0)</f>
        <v>1</v>
      </c>
      <c r="N28" s="24" t="n">
        <f aca="false">IF(M28=1,SUM($M$28:M28),"")</f>
        <v>1</v>
      </c>
      <c r="O28" s="24" t="n">
        <v>1</v>
      </c>
    </row>
    <row r="29" customFormat="false" ht="16.5" hidden="false" customHeight="true" outlineLevel="0" collapsed="false">
      <c r="B29" s="39" t="str">
        <f aca="false">IFERROR(INDEX($J$28:$J$31,MATCH($O29,$N$28:$N$31,0)),"")</f>
        <v>Mission sociale (bulletins de paie, DSN, déclarations sociales)</v>
      </c>
      <c r="C29" s="40" t="n">
        <f aca="false">IFERROR(INDEX($K$28:$K$31,MATCH($O29,$N$28:$N$31,0)),"")</f>
        <v>1800</v>
      </c>
      <c r="D29" s="41" t="n">
        <f aca="false">IF(OR(E29="",N(C29)=0),"",E29/C29-1)</f>
        <v>0.04</v>
      </c>
      <c r="E29" s="40" t="n">
        <f aca="false">IFERROR(INDEX($L$28:$L$31,MATCH($O29,$N$28:$N$31,0)),"")</f>
        <v>1872</v>
      </c>
      <c r="F29" s="40" t="n">
        <f aca="false">IF(E29="","",E29-C29)</f>
        <v>72</v>
      </c>
      <c r="J29" s="24" t="str">
        <f aca="false">Lib_Paye</f>
        <v>Mission sociale (bulletins de paie, DSN, déclarations sociales)</v>
      </c>
      <c r="K29" s="24" t="n">
        <f aca="false">IF($K$1=0,0,N(INDEX(Clients!$L$2:$L$501,$K$1)))</f>
        <v>1800</v>
      </c>
      <c r="L29" s="24" t="n">
        <f aca="false">IF($K$1=0,0,N(INDEX(Clients!$Q$2:$Q$501,$K$1)))</f>
        <v>1872</v>
      </c>
      <c r="M29" s="24" t="n">
        <f aca="false">IF(OR(K29&lt;&gt;0,L29&lt;&gt;0),1,0)</f>
        <v>1</v>
      </c>
      <c r="N29" s="24" t="n">
        <f aca="false">IF(M29=1,SUM($M$28:M29),"")</f>
        <v>2</v>
      </c>
      <c r="O29" s="24" t="n">
        <v>2</v>
      </c>
    </row>
    <row r="30" customFormat="false" ht="16.5" hidden="false" customHeight="true" outlineLevel="0" collapsed="false">
      <c r="B30" s="39" t="str">
        <f aca="false">IFERROR(INDEX($J$28:$J$31,MATCH($O30,$N$28:$N$31,0)),"")</f>
        <v>Mission juridique (approbation des comptes, secrétariat juridique)</v>
      </c>
      <c r="C30" s="40" t="n">
        <f aca="false">IFERROR(INDEX($K$28:$K$31,MATCH($O30,$N$28:$N$31,0)),"")</f>
        <v>600</v>
      </c>
      <c r="D30" s="41" t="n">
        <f aca="false">IF(OR(E30="",N(C30)=0),"",E30/C30-1)</f>
        <v>0.03</v>
      </c>
      <c r="E30" s="40" t="n">
        <f aca="false">IFERROR(INDEX($L$28:$L$31,MATCH($O30,$N$28:$N$31,0)),"")</f>
        <v>618</v>
      </c>
      <c r="F30" s="40" t="n">
        <f aca="false">IF(E30="","",E30-C30)</f>
        <v>18</v>
      </c>
      <c r="J30" s="24" t="str">
        <f aca="false">Lib_Jur</f>
        <v>Mission juridique (approbation des comptes, secrétariat juridique)</v>
      </c>
      <c r="K30" s="24" t="n">
        <f aca="false">IF($K$1=0,0,N(INDEX(Clients!$M$2:$M$501,$K$1)))</f>
        <v>600</v>
      </c>
      <c r="L30" s="24" t="n">
        <f aca="false">IF($K$1=0,0,N(INDEX(Clients!$R$2:$R$501,$K$1)))</f>
        <v>618</v>
      </c>
      <c r="M30" s="24" t="n">
        <f aca="false">IF(OR(K30&lt;&gt;0,L30&lt;&gt;0),1,0)</f>
        <v>1</v>
      </c>
      <c r="N30" s="24" t="n">
        <f aca="false">IF(M30=1,SUM($M$28:M30),"")</f>
        <v>3</v>
      </c>
      <c r="O30" s="24" t="n">
        <v>3</v>
      </c>
    </row>
    <row r="31" customFormat="false" ht="16.5" hidden="false" customHeight="true" outlineLevel="0" collapsed="false">
      <c r="B31" s="39" t="str">
        <f aca="false">IFERROR(INDEX($J$28:$J$31,MATCH($O31,$N$28:$N$31,0)),"")</f>
        <v>Plateforme agréée – facturation électronique</v>
      </c>
      <c r="C31" s="40" t="n">
        <f aca="false">IFERROR(INDEX($K$28:$K$31,MATCH($O31,$N$28:$N$31,0)),"")</f>
        <v>240</v>
      </c>
      <c r="D31" s="41" t="n">
        <f aca="false">IF(OR(E31="",N(C31)=0),"",E31/C31-1)</f>
        <v>0</v>
      </c>
      <c r="E31" s="40" t="n">
        <f aca="false">IFERROR(INDEX($L$28:$L$31,MATCH($O31,$N$28:$N$31,0)),"")</f>
        <v>240</v>
      </c>
      <c r="F31" s="40" t="n">
        <f aca="false">IF(E31="","",E31-C31)</f>
        <v>0</v>
      </c>
      <c r="J31" s="24" t="str">
        <f aca="false">Lib_PA</f>
        <v>Plateforme agréée – facturation électronique</v>
      </c>
      <c r="K31" s="24" t="n">
        <f aca="false">IF($K$1=0,0,N(INDEX(Clients!$N$2:$N$501,$K$1)))</f>
        <v>240</v>
      </c>
      <c r="L31" s="24" t="n">
        <f aca="false">IF($K$1=0,0,N(INDEX(Clients!$S$2:$S$501,$K$1)))</f>
        <v>240</v>
      </c>
      <c r="M31" s="24" t="n">
        <f aca="false">IF(OR(K31&lt;&gt;0,L31&lt;&gt;0),1,0)</f>
        <v>1</v>
      </c>
      <c r="N31" s="24" t="n">
        <f aca="false">IF(M31=1,SUM($M$28:M31),"")</f>
        <v>4</v>
      </c>
      <c r="O31" s="24" t="n">
        <v>4</v>
      </c>
    </row>
    <row r="32" customFormat="false" ht="18" hidden="false" customHeight="true" outlineLevel="0" collapsed="false">
      <c r="B32" s="42" t="s">
        <v>152</v>
      </c>
      <c r="C32" s="43" t="n">
        <f aca="false">SUM(K28:K31)</f>
        <v>6240</v>
      </c>
      <c r="D32" s="44" t="n">
        <f aca="false">IF(N(C32)=0,"",E32/C32-1)</f>
        <v>0.0346153846153847</v>
      </c>
      <c r="E32" s="43" t="n">
        <f aca="false">SUM(L28:L31)</f>
        <v>6456</v>
      </c>
      <c r="F32" s="43" t="n">
        <f aca="false">E32-C32</f>
        <v>216</v>
      </c>
    </row>
    <row r="33" customFormat="false" ht="15" hidden="false" customHeight="false" outlineLevel="0" collapsed="false">
      <c r="B33" s="45" t="str">
        <f aca="false">IF(N(Nb_Mensualites)=0,"","Soit "&amp;FIXED(E32/Nb_Mensualites,2)&amp;" € HT par échéance ("&amp;Nb_Mensualites&amp;" échéances), "&amp;FIXED(E32/Nb_Mensualites*(1+Taux_TVA),2)&amp;" € TTC.")</f>
        <v>Soit 538.00 € HT par échéance (12 échéances), 645.60 € TTC.</v>
      </c>
      <c r="C33" s="45"/>
      <c r="D33" s="45"/>
      <c r="E33" s="45"/>
      <c r="F33" s="45"/>
    </row>
    <row r="34" customFormat="false" ht="7.5" hidden="false" customHeight="true" outlineLevel="0" collapsed="false">
      <c r="B34" s="10"/>
      <c r="C34" s="10"/>
      <c r="D34" s="10"/>
      <c r="E34" s="10"/>
      <c r="F34" s="10"/>
    </row>
    <row r="35" customFormat="false" ht="36.75" hidden="false" customHeight="true" outlineLevel="0" collapsed="false">
      <c r="B35" s="36" t="str">
        <f aca="false">SUBSTITUTE(SUBSTITUTE(SUBSTITUTE(SUBSTITUTE(SUBSTITUTE(Txt_P5,"{cabinet}",Cab_Nom),"{societe}",IF($K$1=0,"",INDEX(Clients!$E$2:$E$501,$K$1)&amp;"")),"{date_effet}",$K$3),"{hausse}",$K$4),"{civilite}",$K$2)</f>
        <v>Les autres conditions de votre lettre de mission demeurent inchangées. Les nouveaux montants seront appliqués automatiquement sur vos prochaines factures et échéances de prélèvement.</v>
      </c>
      <c r="C35" s="36"/>
      <c r="D35" s="36"/>
      <c r="E35" s="36"/>
      <c r="F35" s="36"/>
    </row>
    <row r="36" customFormat="false" ht="36.75" hidden="false" customHeight="true" outlineLevel="0" collapsed="false">
      <c r="B36" s="36" t="str">
        <f aca="false">SUBSTITUTE(SUBSTITUTE(SUBSTITUTE(SUBSTITUTE(SUBSTITUTE(Txt_P6,"{cabinet}",Cab_Nom),"{societe}",IF($K$1=0,"",INDEX(Clients!$E$2:$E$501,$K$1)&amp;"")),"{date_effet}",$K$3),"{hausse}",$K$4),"{civilite}",$K$2)</f>
        <v>Votre interlocuteur habituel reste à votre entière disposition pour répondre à vos questions et faire le point sur l'évolution de vos besoins.</v>
      </c>
      <c r="C36" s="36"/>
      <c r="D36" s="36"/>
      <c r="E36" s="36"/>
      <c r="F36" s="36"/>
    </row>
    <row r="37" customFormat="false" ht="24" hidden="false" customHeight="true" outlineLevel="0" collapsed="false">
      <c r="B37" s="36" t="str">
        <f aca="false">SUBSTITUTE(SUBSTITUTE(SUBSTITUTE(SUBSTITUTE(SUBSTITUTE(Txt_Politesse,"{cabinet}",Cab_Nom),"{societe}",IF($K$1=0,"",INDEX(Clients!$E$2:$E$501,$K$1)&amp;"")),"{date_effet}",$K$3),"{hausse}",$K$4),"{civilite}",$K$2)</f>
        <v>Nous vous prions d'agréer, Monsieur, l'expression de nos salutations distinguées.</v>
      </c>
      <c r="C37" s="36"/>
      <c r="D37" s="36"/>
      <c r="E37" s="36"/>
      <c r="F37" s="36"/>
    </row>
    <row r="38" customFormat="false" ht="15" hidden="false" customHeight="false" outlineLevel="0" collapsed="false">
      <c r="B38" s="10"/>
      <c r="C38" s="10"/>
      <c r="D38" s="10"/>
      <c r="E38" s="10"/>
      <c r="F38" s="10"/>
    </row>
    <row r="39" customFormat="false" ht="15" hidden="false" customHeight="false" outlineLevel="0" collapsed="false">
      <c r="B39" s="10"/>
      <c r="C39" s="10"/>
      <c r="D39" s="33" t="str">
        <f aca="false">Signataire</f>
        <v>Jean MARTIN</v>
      </c>
      <c r="E39" s="33"/>
      <c r="F39" s="33"/>
    </row>
    <row r="40" customFormat="false" ht="15" hidden="false" customHeight="false" outlineLevel="0" collapsed="false">
      <c r="B40" s="10"/>
      <c r="C40" s="10"/>
      <c r="D40" s="46" t="str">
        <f aca="false">Signataire_Titre</f>
        <v>Expert-comptable associé</v>
      </c>
      <c r="E40" s="46"/>
      <c r="F40" s="46"/>
    </row>
    <row r="41" customFormat="false" ht="15.75" hidden="false" customHeight="true" outlineLevel="0" collapsed="false">
      <c r="B41" s="10"/>
      <c r="C41" s="10"/>
      <c r="D41" s="10"/>
      <c r="E41" s="10"/>
      <c r="F41" s="10"/>
    </row>
    <row r="42" customFormat="false" ht="15.75" hidden="false" customHeight="true" outlineLevel="0" collapsed="false">
      <c r="B42" s="10"/>
      <c r="C42" s="10"/>
      <c r="D42" s="10"/>
      <c r="E42" s="10"/>
      <c r="F42" s="10"/>
    </row>
    <row r="43" customFormat="false" ht="15.75" hidden="false" customHeight="true" outlineLevel="0" collapsed="false">
      <c r="B43" s="10"/>
      <c r="C43" s="10"/>
      <c r="D43" s="10"/>
      <c r="E43" s="10"/>
      <c r="F43" s="10"/>
    </row>
    <row r="44" customFormat="false" ht="15.75" hidden="false" customHeight="true" outlineLevel="0" collapsed="false">
      <c r="B44" s="10"/>
      <c r="C44" s="10"/>
      <c r="D44" s="10"/>
      <c r="E44" s="10"/>
      <c r="F44" s="10"/>
    </row>
    <row r="45" customFormat="false" ht="24" hidden="false" customHeight="true" outlineLevel="0" collapsed="false">
      <c r="B45" s="47" t="str">
        <f aca="false">Cab_Mentions</f>
        <v>SAS au capital de 10 000 € · SIRET 000 000 000 00000 · Société d'expertise comptable inscrite au Tableau de l'Ordre de la région Auvergne-Rhône-Alpes</v>
      </c>
      <c r="C45" s="47"/>
      <c r="D45" s="47"/>
      <c r="E45" s="47"/>
      <c r="F45" s="47"/>
    </row>
  </sheetData>
  <mergeCells count="24">
    <mergeCell ref="B2:C2"/>
    <mergeCell ref="E2:F2"/>
    <mergeCell ref="B3:C3"/>
    <mergeCell ref="B4:C4"/>
    <mergeCell ref="B5:C5"/>
    <mergeCell ref="I6:L10"/>
    <mergeCell ref="D10:F10"/>
    <mergeCell ref="D11:F11"/>
    <mergeCell ref="D12:F12"/>
    <mergeCell ref="D13:F13"/>
    <mergeCell ref="D14:F14"/>
    <mergeCell ref="D16:F16"/>
    <mergeCell ref="B18:F18"/>
    <mergeCell ref="B22:F22"/>
    <mergeCell ref="B23:F23"/>
    <mergeCell ref="B24:F24"/>
    <mergeCell ref="B25:F25"/>
    <mergeCell ref="B33:F33"/>
    <mergeCell ref="B35:F35"/>
    <mergeCell ref="B36:F36"/>
    <mergeCell ref="B37:F37"/>
    <mergeCell ref="D39:F39"/>
    <mergeCell ref="D40:F40"/>
    <mergeCell ref="B45:F45"/>
  </mergeCells>
  <conditionalFormatting sqref="B28:F31">
    <cfRule type="expression" priority="2" aboveAverage="0" equalAverage="0" bottom="0" percent="0" rank="0" text="" dxfId="7">
      <formula>$B28&lt;&gt;""</formula>
    </cfRule>
  </conditionalFormatting>
  <dataValidations count="1">
    <dataValidation allowBlank="false" errorStyle="stop" operator="between" showDropDown="false" showErrorMessage="false" showInputMessage="false" sqref="I3" type="list">
      <formula1>Codes_Clients</formula1>
      <formula2>0</formula2>
    </dataValidation>
  </dataValidations>
  <printOptions headings="false" gridLines="false" gridLinesSet="true" horizontalCentered="true" verticalCentered="false"/>
  <pageMargins left="0.6" right="0.6" top="0.5"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0"/>
  </cols>
  <sheetData>
    <row r="1" customFormat="false" ht="15" hidden="false" customHeight="false" outlineLevel="0" collapsed="false">
      <c r="A1" s="48" t="s">
        <v>153</v>
      </c>
    </row>
    <row r="3" customFormat="false" ht="15" hidden="false" customHeight="false" outlineLevel="0" collapsed="false">
      <c r="A3" s="49" t="s">
        <v>154</v>
      </c>
    </row>
    <row r="4" customFormat="false" ht="15" hidden="false" customHeight="false" outlineLevel="0" collapsed="false">
      <c r="A4" s="49" t="s">
        <v>155</v>
      </c>
    </row>
    <row r="5" customFormat="false" ht="15" hidden="false" customHeight="false" outlineLevel="0" collapsed="false">
      <c r="A5" s="49" t="s">
        <v>156</v>
      </c>
    </row>
    <row r="6" customFormat="false" ht="15" hidden="false" customHeight="false" outlineLevel="0" collapsed="false">
      <c r="A6" s="49" t="s">
        <v>157</v>
      </c>
    </row>
    <row r="7" customFormat="false" ht="15" hidden="false" customHeight="false" outlineLevel="0" collapsed="false">
      <c r="A7" s="49" t="s">
        <v>154</v>
      </c>
    </row>
    <row r="8" customFormat="false" ht="15" hidden="false" customHeight="false" outlineLevel="0" collapsed="false">
      <c r="A8" s="49" t="s">
        <v>158</v>
      </c>
    </row>
    <row r="9" customFormat="false" ht="15" hidden="false" customHeight="false" outlineLevel="0" collapsed="false">
      <c r="A9" s="49"/>
    </row>
    <row r="10" customFormat="false" ht="15" hidden="false" customHeight="false" outlineLevel="0" collapsed="false">
      <c r="A10" s="49" t="s">
        <v>159</v>
      </c>
    </row>
    <row r="11" customFormat="false" ht="15" hidden="false" customHeight="false" outlineLevel="0" collapsed="false">
      <c r="A11" s="49" t="s">
        <v>160</v>
      </c>
    </row>
    <row r="12" customFormat="false" ht="15" hidden="false" customHeight="false" outlineLevel="0" collapsed="false">
      <c r="A12" s="49" t="s">
        <v>161</v>
      </c>
    </row>
    <row r="13" customFormat="false" ht="15" hidden="false" customHeight="false" outlineLevel="0" collapsed="false">
      <c r="A13" s="49" t="s">
        <v>162</v>
      </c>
    </row>
    <row r="14" customFormat="false" ht="15" hidden="false" customHeight="false" outlineLevel="0" collapsed="false">
      <c r="A14" s="49"/>
    </row>
    <row r="15" customFormat="false" ht="15" hidden="false" customHeight="false" outlineLevel="0" collapsed="false">
      <c r="A15" s="49" t="s">
        <v>163</v>
      </c>
    </row>
    <row r="16" customFormat="false" ht="15" hidden="false" customHeight="false" outlineLevel="0" collapsed="false">
      <c r="A16" s="49" t="s">
        <v>164</v>
      </c>
    </row>
    <row r="17" customFormat="false" ht="15" hidden="false" customHeight="false" outlineLevel="0" collapsed="false">
      <c r="A17" s="49" t="s">
        <v>165</v>
      </c>
    </row>
    <row r="18" customFormat="false" ht="15" hidden="false" customHeight="false" outlineLevel="0" collapsed="false">
      <c r="A18" s="49" t="s">
        <v>166</v>
      </c>
    </row>
    <row r="19" customFormat="false" ht="15" hidden="false" customHeight="false" outlineLevel="0" collapsed="false">
      <c r="A19" s="49" t="s">
        <v>167</v>
      </c>
    </row>
    <row r="20" customFormat="false" ht="15" hidden="false" customHeight="false" outlineLevel="0" collapsed="false">
      <c r="A20" s="49"/>
    </row>
    <row r="21" customFormat="false" ht="15" hidden="false" customHeight="false" outlineLevel="0" collapsed="false">
      <c r="A21" s="49" t="s">
        <v>168</v>
      </c>
    </row>
    <row r="22" customFormat="false" ht="15" hidden="false" customHeight="false" outlineLevel="0" collapsed="false">
      <c r="A22" s="49" t="s">
        <v>169</v>
      </c>
    </row>
    <row r="23" customFormat="false" ht="15" hidden="false" customHeight="false" outlineLevel="0" collapsed="false">
      <c r="A23" s="49" t="s">
        <v>170</v>
      </c>
    </row>
    <row r="24" customFormat="false" ht="15" hidden="false" customHeight="false" outlineLevel="0" collapsed="false">
      <c r="A24" s="49" t="s">
        <v>171</v>
      </c>
    </row>
    <row r="25" customFormat="false" ht="15" hidden="false" customHeight="false" outlineLevel="0" collapsed="false">
      <c r="A25" s="49"/>
    </row>
    <row r="26" customFormat="false" ht="15" hidden="false" customHeight="false" outlineLevel="0" collapsed="false">
      <c r="A26" s="49" t="s">
        <v>172</v>
      </c>
    </row>
    <row r="27" customFormat="false" ht="15" hidden="false" customHeight="false" outlineLevel="0" collapsed="false">
      <c r="A27" s="49" t="s">
        <v>173</v>
      </c>
    </row>
    <row r="28" customFormat="false" ht="15" hidden="false" customHeight="false" outlineLevel="0" collapsed="false">
      <c r="A28" s="49" t="s">
        <v>174</v>
      </c>
    </row>
    <row r="29" customFormat="false" ht="15" hidden="false" customHeight="false" outlineLevel="0" collapsed="false">
      <c r="A29" s="49"/>
    </row>
    <row r="30" customFormat="false" ht="15" hidden="false" customHeight="false" outlineLevel="0" collapsed="false">
      <c r="A30" s="49" t="s">
        <v>175</v>
      </c>
    </row>
    <row r="31" customFormat="false" ht="15" hidden="false" customHeight="false" outlineLevel="0" collapsed="false">
      <c r="A31" s="49" t="s">
        <v>176</v>
      </c>
    </row>
    <row r="32" customFormat="false" ht="15" hidden="false" customHeight="false" outlineLevel="0" collapsed="false">
      <c r="A32" s="49" t="s">
        <v>177</v>
      </c>
    </row>
    <row r="33" customFormat="false" ht="15" hidden="false" customHeight="false" outlineLevel="0" collapsed="false">
      <c r="A33" s="49" t="s">
        <v>178</v>
      </c>
    </row>
    <row r="34" customFormat="false" ht="15" hidden="false" customHeight="false" outlineLevel="0" collapsed="false">
      <c r="A34" s="49" t="s">
        <v>179</v>
      </c>
    </row>
    <row r="35" customFormat="false" ht="15" hidden="false" customHeight="false" outlineLevel="0" collapsed="false">
      <c r="A35" s="49" t="s">
        <v>180</v>
      </c>
    </row>
    <row r="36" customFormat="false" ht="15" hidden="false" customHeight="false" outlineLevel="0" collapsed="false">
      <c r="A36" s="49" t="s">
        <v>181</v>
      </c>
    </row>
    <row r="37" customFormat="false" ht="15" hidden="false" customHeight="false" outlineLevel="0" collapsed="false">
      <c r="A37" s="49" t="s">
        <v>182</v>
      </c>
    </row>
    <row r="38" customFormat="false" ht="15" hidden="false" customHeight="false" outlineLevel="0" collapsed="false">
      <c r="A38" s="49" t="s">
        <v>183</v>
      </c>
    </row>
    <row r="39" customFormat="false" ht="15" hidden="false" customHeight="false" outlineLevel="0" collapsed="false">
      <c r="A39" s="49" t="s">
        <v>184</v>
      </c>
    </row>
    <row r="40" customFormat="false" ht="15" hidden="false" customHeight="false" outlineLevel="0" collapsed="false">
      <c r="A40" s="49" t="s">
        <v>185</v>
      </c>
    </row>
    <row r="41" customFormat="false" ht="15" hidden="false" customHeight="false" outlineLevel="0" collapsed="false">
      <c r="A41" s="49" t="s">
        <v>186</v>
      </c>
    </row>
    <row r="42" customFormat="false" ht="15" hidden="false" customHeight="false" outlineLevel="0" collapsed="false">
      <c r="A42" s="49"/>
    </row>
    <row r="43" customFormat="false" ht="15" hidden="false" customHeight="false" outlineLevel="0" collapsed="false">
      <c r="A43" s="49" t="s">
        <v>187</v>
      </c>
    </row>
    <row r="44" customFormat="false" ht="15" hidden="false" customHeight="false" outlineLevel="0" collapsed="false">
      <c r="A44" s="49" t="s">
        <v>188</v>
      </c>
    </row>
    <row r="45" customFormat="false" ht="15" hidden="false" customHeight="false" outlineLevel="0" collapsed="false">
      <c r="A45" s="49" t="s">
        <v>189</v>
      </c>
    </row>
    <row r="46" customFormat="false" ht="15" hidden="false" customHeight="false" outlineLevel="0" collapsed="false">
      <c r="A46" s="49" t="s">
        <v>190</v>
      </c>
    </row>
    <row r="47" customFormat="false" ht="15" hidden="false" customHeight="false" outlineLevel="0" collapsed="false">
      <c r="A47" s="49"/>
    </row>
    <row r="48" customFormat="false" ht="15" hidden="false" customHeight="false" outlineLevel="0" collapsed="false">
      <c r="A48" s="49" t="s">
        <v>191</v>
      </c>
    </row>
    <row r="49" customFormat="false" ht="15" hidden="false" customHeight="false" outlineLevel="0" collapsed="false">
      <c r="A49" s="49" t="s">
        <v>192</v>
      </c>
    </row>
    <row r="50" customFormat="false" ht="15" hidden="false" customHeight="false" outlineLevel="0" collapsed="false">
      <c r="A50" s="49" t="s">
        <v>193</v>
      </c>
    </row>
    <row r="51" customFormat="false" ht="15" hidden="false" customHeight="false" outlineLevel="0" collapsed="false">
      <c r="A51" s="49" t="s">
        <v>194</v>
      </c>
    </row>
    <row r="52" customFormat="false" ht="15" hidden="false" customHeight="false" outlineLevel="0" collapsed="false">
      <c r="A52" s="49" t="s">
        <v>167</v>
      </c>
    </row>
    <row r="53" customFormat="false" ht="15" hidden="false" customHeight="false" outlineLevel="0" collapsed="false">
      <c r="A53" s="49"/>
    </row>
    <row r="54" customFormat="false" ht="15" hidden="false" customHeight="false" outlineLevel="0" collapsed="false">
      <c r="A54" s="49" t="s">
        <v>168</v>
      </c>
    </row>
    <row r="55" customFormat="false" ht="15" hidden="false" customHeight="false" outlineLevel="0" collapsed="false">
      <c r="A55" s="49" t="s">
        <v>169</v>
      </c>
    </row>
    <row r="56" customFormat="false" ht="15" hidden="false" customHeight="false" outlineLevel="0" collapsed="false">
      <c r="A56" s="49" t="s">
        <v>170</v>
      </c>
    </row>
    <row r="57" customFormat="false" ht="15" hidden="false" customHeight="false" outlineLevel="0" collapsed="false">
      <c r="A57" s="49" t="s">
        <v>171</v>
      </c>
    </row>
    <row r="58" customFormat="false" ht="15" hidden="false" customHeight="false" outlineLevel="0" collapsed="false">
      <c r="A58" s="49"/>
    </row>
    <row r="59" customFormat="false" ht="15" hidden="false" customHeight="false" outlineLevel="0" collapsed="false">
      <c r="A59" s="49" t="s">
        <v>172</v>
      </c>
    </row>
    <row r="60" customFormat="false" ht="15" hidden="false" customHeight="false" outlineLevel="0" collapsed="false">
      <c r="A60" s="49" t="s">
        <v>173</v>
      </c>
    </row>
    <row r="61" customFormat="false" ht="15" hidden="false" customHeight="false" outlineLevel="0" collapsed="false">
      <c r="A61" s="49" t="s">
        <v>195</v>
      </c>
    </row>
    <row r="62" customFormat="false" ht="15" hidden="false" customHeight="false" outlineLevel="0" collapsed="false">
      <c r="A62" s="49" t="s">
        <v>174</v>
      </c>
    </row>
    <row r="63" customFormat="false" ht="15" hidden="false" customHeight="false" outlineLevel="0" collapsed="false">
      <c r="A63" s="49"/>
    </row>
    <row r="64" customFormat="false" ht="15" hidden="false" customHeight="false" outlineLevel="0" collapsed="false">
      <c r="A64" s="49" t="s">
        <v>175</v>
      </c>
    </row>
    <row r="65" customFormat="false" ht="15" hidden="false" customHeight="false" outlineLevel="0" collapsed="false">
      <c r="A65" s="49" t="s">
        <v>176</v>
      </c>
    </row>
    <row r="66" customFormat="false" ht="15" hidden="false" customHeight="false" outlineLevel="0" collapsed="false">
      <c r="A66" s="49" t="s">
        <v>177</v>
      </c>
    </row>
    <row r="67" customFormat="false" ht="15" hidden="false" customHeight="false" outlineLevel="0" collapsed="false">
      <c r="A67" s="49" t="s">
        <v>178</v>
      </c>
    </row>
    <row r="68" customFormat="false" ht="15" hidden="false" customHeight="false" outlineLevel="0" collapsed="false">
      <c r="A68" s="49" t="s">
        <v>196</v>
      </c>
    </row>
    <row r="69" customFormat="false" ht="15" hidden="false" customHeight="false" outlineLevel="0" collapsed="false">
      <c r="A69" s="49" t="s">
        <v>197</v>
      </c>
    </row>
    <row r="70" customFormat="false" ht="15" hidden="false" customHeight="false" outlineLevel="0" collapsed="false">
      <c r="A70" s="49" t="s">
        <v>198</v>
      </c>
    </row>
    <row r="71" customFormat="false" ht="15" hidden="false" customHeight="false" outlineLevel="0" collapsed="false">
      <c r="A71" s="49" t="s">
        <v>199</v>
      </c>
    </row>
    <row r="72" customFormat="false" ht="15" hidden="false" customHeight="false" outlineLevel="0" collapsed="false">
      <c r="A72" s="49" t="s">
        <v>200</v>
      </c>
    </row>
    <row r="73" customFormat="false" ht="15" hidden="false" customHeight="false" outlineLevel="0" collapsed="false">
      <c r="A73" s="49" t="s">
        <v>201</v>
      </c>
    </row>
    <row r="74" customFormat="false" ht="15" hidden="false" customHeight="false" outlineLevel="0" collapsed="false">
      <c r="A74" s="49" t="s">
        <v>202</v>
      </c>
    </row>
    <row r="75" customFormat="false" ht="15" hidden="false" customHeight="false" outlineLevel="0" collapsed="false">
      <c r="A75" s="49" t="s">
        <v>203</v>
      </c>
    </row>
    <row r="76" customFormat="false" ht="15" hidden="false" customHeight="false" outlineLevel="0" collapsed="false">
      <c r="A76" s="49" t="s">
        <v>204</v>
      </c>
    </row>
    <row r="77" customFormat="false" ht="15" hidden="false" customHeight="false" outlineLevel="0" collapsed="false">
      <c r="A77" s="49" t="s">
        <v>205</v>
      </c>
    </row>
    <row r="78" customFormat="false" ht="15" hidden="false" customHeight="false" outlineLevel="0" collapsed="false">
      <c r="A78" s="49" t="s">
        <v>206</v>
      </c>
    </row>
    <row r="79" customFormat="false" ht="15" hidden="false" customHeight="false" outlineLevel="0" collapsed="false">
      <c r="A79" s="49" t="s">
        <v>184</v>
      </c>
    </row>
    <row r="80" customFormat="false" ht="15" hidden="false" customHeight="false" outlineLevel="0" collapsed="false">
      <c r="A80" s="49" t="s">
        <v>185</v>
      </c>
    </row>
    <row r="81" customFormat="false" ht="15" hidden="false" customHeight="false" outlineLevel="0" collapsed="false">
      <c r="A81" s="49" t="s">
        <v>186</v>
      </c>
    </row>
    <row r="82" customFormat="false" ht="15" hidden="false" customHeight="false" outlineLevel="0" collapsed="false">
      <c r="A82" s="49"/>
    </row>
    <row r="83" customFormat="false" ht="15" hidden="false" customHeight="false" outlineLevel="0" collapsed="false">
      <c r="A83" s="49" t="s">
        <v>207</v>
      </c>
    </row>
    <row r="84" customFormat="false" ht="15" hidden="false" customHeight="false" outlineLevel="0" collapsed="false">
      <c r="A84" s="49" t="s">
        <v>208</v>
      </c>
    </row>
    <row r="85" customFormat="false" ht="15" hidden="false" customHeight="false" outlineLevel="0" collapsed="false">
      <c r="A85" s="49" t="s">
        <v>209</v>
      </c>
    </row>
    <row r="86" customFormat="false" ht="15" hidden="false" customHeight="false" outlineLevel="0" collapsed="false">
      <c r="A86" s="49" t="s">
        <v>210</v>
      </c>
    </row>
    <row r="87" customFormat="false" ht="15" hidden="false" customHeight="false" outlineLevel="0" collapsed="false">
      <c r="A87" s="49" t="s">
        <v>211</v>
      </c>
    </row>
    <row r="88" customFormat="false" ht="15" hidden="false" customHeight="false" outlineLevel="0" collapsed="false">
      <c r="A88" s="49" t="s">
        <v>212</v>
      </c>
    </row>
    <row r="89" customFormat="false" ht="15" hidden="false" customHeight="false" outlineLevel="0" collapsed="false">
      <c r="A89" s="49" t="s">
        <v>213</v>
      </c>
    </row>
    <row r="90" customFormat="false" ht="15" hidden="false" customHeight="false" outlineLevel="0" collapsed="false">
      <c r="A90" s="49"/>
    </row>
    <row r="91" customFormat="false" ht="15" hidden="false" customHeight="false" outlineLevel="0" collapsed="false">
      <c r="A91" s="49" t="s">
        <v>187</v>
      </c>
    </row>
    <row r="92" customFormat="false" ht="15" hidden="false" customHeight="false" outlineLevel="0" collapsed="false">
      <c r="A92" s="49" t="s">
        <v>214</v>
      </c>
    </row>
    <row r="93" customFormat="false" ht="15" hidden="false" customHeight="false" outlineLevel="0" collapsed="false">
      <c r="A93" s="49" t="s">
        <v>188</v>
      </c>
    </row>
    <row r="94" customFormat="false" ht="15" hidden="false" customHeight="false" outlineLevel="0" collapsed="false">
      <c r="A94" s="49" t="s">
        <v>215</v>
      </c>
    </row>
    <row r="95" customFormat="false" ht="15" hidden="false" customHeight="false" outlineLevel="0" collapsed="false">
      <c r="A95" s="49" t="s">
        <v>190</v>
      </c>
    </row>
    <row r="96" customFormat="false" ht="15" hidden="false" customHeight="false" outlineLevel="0" collapsed="false">
      <c r="A96" s="49"/>
    </row>
    <row r="97" customFormat="false" ht="15" hidden="false" customHeight="false" outlineLevel="0" collapsed="false">
      <c r="A97" s="49" t="s">
        <v>216</v>
      </c>
    </row>
    <row r="98" customFormat="false" ht="15" hidden="false" customHeight="false" outlineLevel="0" collapsed="false">
      <c r="A98" s="49" t="s">
        <v>217</v>
      </c>
    </row>
    <row r="99" customFormat="false" ht="15" hidden="false" customHeight="false" outlineLevel="0" collapsed="false">
      <c r="A99" s="49" t="s">
        <v>218</v>
      </c>
    </row>
    <row r="100" customFormat="false" ht="15" hidden="false" customHeight="false" outlineLevel="0" collapsed="false">
      <c r="A100" s="49" t="s">
        <v>219</v>
      </c>
    </row>
    <row r="101" customFormat="false" ht="15" hidden="false" customHeight="false" outlineLevel="0" collapsed="false">
      <c r="A101" s="49"/>
    </row>
    <row r="102" customFormat="false" ht="15" hidden="false" customHeight="false" outlineLevel="0" collapsed="false">
      <c r="A102" s="49" t="s">
        <v>168</v>
      </c>
    </row>
    <row r="103" customFormat="false" ht="15" hidden="false" customHeight="false" outlineLevel="0" collapsed="false">
      <c r="A103" s="49" t="s">
        <v>169</v>
      </c>
    </row>
    <row r="104" customFormat="false" ht="15" hidden="false" customHeight="false" outlineLevel="0" collapsed="false">
      <c r="A104" s="49" t="s">
        <v>220</v>
      </c>
    </row>
    <row r="105" customFormat="false" ht="15" hidden="false" customHeight="false" outlineLevel="0" collapsed="false">
      <c r="A105" s="49" t="s">
        <v>221</v>
      </c>
    </row>
    <row r="106" customFormat="false" ht="15" hidden="false" customHeight="false" outlineLevel="0" collapsed="false">
      <c r="A106" s="49"/>
    </row>
    <row r="107" customFormat="false" ht="15" hidden="false" customHeight="false" outlineLevel="0" collapsed="false">
      <c r="A107" s="49" t="s">
        <v>172</v>
      </c>
    </row>
    <row r="108" customFormat="false" ht="15" hidden="false" customHeight="false" outlineLevel="0" collapsed="false">
      <c r="A108" s="49" t="s">
        <v>174</v>
      </c>
    </row>
    <row r="109" customFormat="false" ht="15" hidden="false" customHeight="false" outlineLevel="0" collapsed="false">
      <c r="A109" s="49"/>
    </row>
    <row r="110" customFormat="false" ht="15" hidden="false" customHeight="false" outlineLevel="0" collapsed="false">
      <c r="A110" s="49" t="s">
        <v>175</v>
      </c>
    </row>
    <row r="111" customFormat="false" ht="15" hidden="false" customHeight="false" outlineLevel="0" collapsed="false">
      <c r="A111" s="49" t="s">
        <v>222</v>
      </c>
    </row>
    <row r="112" customFormat="false" ht="15" hidden="false" customHeight="false" outlineLevel="0" collapsed="false">
      <c r="A112" s="49" t="s">
        <v>223</v>
      </c>
    </row>
    <row r="113" customFormat="false" ht="15" hidden="false" customHeight="false" outlineLevel="0" collapsed="false">
      <c r="A113" s="49" t="s">
        <v>177</v>
      </c>
    </row>
    <row r="114" customFormat="false" ht="15" hidden="false" customHeight="false" outlineLevel="0" collapsed="false">
      <c r="A114" s="49" t="s">
        <v>178</v>
      </c>
    </row>
    <row r="115" customFormat="false" ht="15" hidden="false" customHeight="false" outlineLevel="0" collapsed="false">
      <c r="A115" s="49" t="s">
        <v>224</v>
      </c>
    </row>
    <row r="116" customFormat="false" ht="15" hidden="false" customHeight="false" outlineLevel="0" collapsed="false">
      <c r="A116" s="49" t="s">
        <v>184</v>
      </c>
    </row>
    <row r="117" customFormat="false" ht="15" hidden="false" customHeight="false" outlineLevel="0" collapsed="false">
      <c r="A117" s="49" t="s">
        <v>185</v>
      </c>
    </row>
    <row r="118" customFormat="false" ht="15" hidden="false" customHeight="false" outlineLevel="0" collapsed="false">
      <c r="A118" s="49" t="s">
        <v>186</v>
      </c>
    </row>
    <row r="119" customFormat="false" ht="15" hidden="false" customHeight="false" outlineLevel="0" collapsed="false">
      <c r="A119" s="49"/>
    </row>
    <row r="120" customFormat="false" ht="15" hidden="false" customHeight="false" outlineLevel="0" collapsed="false">
      <c r="A120" s="49" t="s">
        <v>187</v>
      </c>
    </row>
    <row r="121" customFormat="false" ht="15" hidden="false" customHeight="false" outlineLevel="0" collapsed="false">
      <c r="A121" s="49" t="s">
        <v>225</v>
      </c>
    </row>
    <row r="122" customFormat="false" ht="15" hidden="false" customHeight="false" outlineLevel="0" collapsed="false">
      <c r="A122" s="49" t="s">
        <v>190</v>
      </c>
    </row>
    <row r="123" customFormat="false" ht="15" hidden="false" customHeight="false" outlineLevel="0" collapsed="false">
      <c r="A123" s="49"/>
    </row>
    <row r="124" customFormat="false" ht="15" hidden="false" customHeight="false" outlineLevel="0" collapsed="false">
      <c r="A124" s="49" t="s">
        <v>226</v>
      </c>
    </row>
    <row r="125" customFormat="false" ht="15" hidden="false" customHeight="false" outlineLevel="0" collapsed="false">
      <c r="A125" s="49" t="s">
        <v>227</v>
      </c>
    </row>
    <row r="126" customFormat="false" ht="15" hidden="false" customHeight="false" outlineLevel="0" collapsed="false">
      <c r="A126" s="49" t="s">
        <v>228</v>
      </c>
    </row>
    <row r="127" customFormat="false" ht="15" hidden="false" customHeight="false" outlineLevel="0" collapsed="false">
      <c r="A127" s="49" t="s">
        <v>229</v>
      </c>
    </row>
    <row r="128" customFormat="false" ht="15" hidden="false" customHeight="false" outlineLevel="0" collapsed="false">
      <c r="A128" s="49" t="s">
        <v>230</v>
      </c>
    </row>
    <row r="129" customFormat="false" ht="15" hidden="false" customHeight="false" outlineLevel="0" collapsed="false">
      <c r="A129" s="49"/>
    </row>
    <row r="130" customFormat="false" ht="15" hidden="false" customHeight="false" outlineLevel="0" collapsed="false">
      <c r="A130" s="49" t="s">
        <v>231</v>
      </c>
    </row>
    <row r="131" customFormat="false" ht="15" hidden="false" customHeight="false" outlineLevel="0" collapsed="false">
      <c r="A131" s="49" t="s">
        <v>232</v>
      </c>
    </row>
    <row r="132" customFormat="false" ht="15" hidden="false" customHeight="false" outlineLevel="0" collapsed="false">
      <c r="A132" s="49" t="s">
        <v>233</v>
      </c>
    </row>
    <row r="133" customFormat="false" ht="15" hidden="false" customHeight="false" outlineLevel="0" collapsed="false">
      <c r="A133" s="49" t="s">
        <v>234</v>
      </c>
    </row>
    <row r="134" customFormat="false" ht="15" hidden="false" customHeight="false" outlineLevel="0" collapsed="false">
      <c r="A134" s="49" t="s">
        <v>235</v>
      </c>
    </row>
    <row r="135" customFormat="false" ht="15" hidden="false" customHeight="false" outlineLevel="0" collapsed="false">
      <c r="A135" s="49" t="s">
        <v>213</v>
      </c>
    </row>
    <row r="136" customFormat="false" ht="15" hidden="false" customHeight="false" outlineLevel="0" collapsed="false">
      <c r="A136" s="49" t="s">
        <v>236</v>
      </c>
    </row>
    <row r="137" customFormat="false" ht="15" hidden="false" customHeight="false" outlineLevel="0" collapsed="false">
      <c r="A137" s="49" t="s">
        <v>237</v>
      </c>
    </row>
    <row r="138" customFormat="false" ht="15" hidden="false" customHeight="false" outlineLevel="0" collapsed="false">
      <c r="A138" s="49" t="s">
        <v>238</v>
      </c>
    </row>
    <row r="139" customFormat="false" ht="15" hidden="false" customHeight="false" outlineLevel="0" collapsed="false">
      <c r="A139" s="49" t="s">
        <v>230</v>
      </c>
    </row>
    <row r="140" customFormat="false" ht="15" hidden="false" customHeight="false" outlineLevel="0" collapsed="false">
      <c r="A140" s="49"/>
    </row>
    <row r="141" customFormat="false" ht="15" hidden="false" customHeight="false" outlineLevel="0" collapsed="false">
      <c r="A141" s="49" t="s">
        <v>239</v>
      </c>
    </row>
    <row r="142" customFormat="false" ht="15" hidden="false" customHeight="false" outlineLevel="0" collapsed="false">
      <c r="A142" s="49" t="s">
        <v>240</v>
      </c>
    </row>
    <row r="143" customFormat="false" ht="15" hidden="false" customHeight="false" outlineLevel="0" collapsed="false">
      <c r="A143" s="49" t="s">
        <v>241</v>
      </c>
    </row>
    <row r="144" customFormat="false" ht="15" hidden="false" customHeight="false" outlineLevel="0" collapsed="false">
      <c r="A144" s="49" t="s">
        <v>242</v>
      </c>
    </row>
    <row r="145" customFormat="false" ht="15" hidden="false" customHeight="false" outlineLevel="0" collapsed="false">
      <c r="A145" s="49" t="s">
        <v>243</v>
      </c>
    </row>
    <row r="146" customFormat="false" ht="15" hidden="false" customHeight="false" outlineLevel="0" collapsed="false">
      <c r="A146" s="49" t="s">
        <v>244</v>
      </c>
    </row>
    <row r="147" customFormat="false" ht="15" hidden="false" customHeight="false" outlineLevel="0" collapsed="false">
      <c r="A147" s="49" t="s">
        <v>230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2026-09-22T20:31:59Z</dcterms:created>
  <dc:creator>openpyxl</dc:creator>
  <dc:description/>
  <dc:language>en-US</dc:language>
  <cp:lastModifiedBy/>
  <dcterms:modified xsi:type="dcterms:W3CDTF">2026-09-22T20:32:00Z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